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2730552b8444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cidents" sheetId="1" r:id="R12636324c3384524"/>
    <x:sheet xmlns:r="http://schemas.openxmlformats.org/officeDocument/2006/relationships" name="Vulnerabilities" sheetId="2" r:id="R2825dde426514191"/>
    <x:sheet xmlns:r="http://schemas.openxmlformats.org/officeDocument/2006/relationships" name="Assets" sheetId="3" r:id="Rf1a15a65aa67442c"/>
    <x:sheet xmlns:r="http://schemas.openxmlformats.org/officeDocument/2006/relationships" name="Risk Register" sheetId="4" r:id="R3171dbdb6da54141"/>
    <x:sheet xmlns:r="http://schemas.openxmlformats.org/officeDocument/2006/relationships" name="Control Mapping" sheetId="5" r:id="Rf0d0b6bdd5f74cde"/>
    <x:sheet xmlns:r="http://schemas.openxmlformats.org/officeDocument/2006/relationships" name="Instructions" sheetId="6" r:id="R8cd03083b84c41f6"/>
    <x:sheet xmlns:r="http://schemas.openxmlformats.org/officeDocument/2006/relationships" name="Data Quality Audit" sheetId="7" r:id="R15b47ec93818428e"/>
    <x:sheet xmlns:r="http://schemas.openxmlformats.org/officeDocument/2006/relationships" name="Power BI Prep" sheetId="8" r:id="Rc2748f95d1164c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"/>
  </x:numFmts>
  <x:fonts count="5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  <x:font>
      <x:b/>
      <x:sz val="11"/>
      <x:color rgb="0F243E"/>
      <x:name val="Carlito"/>
    </x:font>
    <x:font>
      <x:sz val="11"/>
      <x:color rgb="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0F243E"/>
      </x:patternFill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0F243E"/>
      </x:patternFill>
    </x:fill>
    <x:fill>
      <x:patternFill patternType="solid">
        <x:fgColor rgb="FFF2CC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left"/>
    </x:xf>
    <x:xf numFmtId="0" fontId="1" fillId="5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7">
    <x:dxf>
      <x:font>
        <x:b/>
      </x:font>
      <x:fill>
        <x:patternFill>
          <x:bgColor rgb="F4CCCC"/>
        </x:patternFill>
      </x:fill>
    </x:dxf>
    <x:dxf>
      <x:fill>
        <x:patternFill>
          <x:bgColor rgb="FCE5CD"/>
        </x:patternFill>
      </x:fill>
    </x:dxf>
    <x:dxf>
      <x:font>
        <x:b/>
        <x:color rgb="274E13"/>
      </x:font>
      <x:fill>
        <x:patternFill patternType="solid">
          <x:bgColor rgb="D9EAD3"/>
        </x:patternFill>
      </x:fill>
    </x:dxf>
    <x:dxf>
      <x:font>
        <x:b/>
        <x:color rgb="990000"/>
      </x:font>
      <x:fill>
        <x:patternFill patternType="solid">
          <x:bgColor rgb="F4CCCC"/>
        </x:patternFill>
      </x:fill>
    </x:dxf>
    <x:dxf>
      <x:font>
        <x:b/>
        <x:color rgb="990000"/>
      </x:font>
      <x:fill>
        <x:patternFill patternType="solid">
          <x:bgColor rgb="F4CCCC"/>
        </x:patternFill>
      </x:fill>
    </x:dxf>
    <x:dxf>
      <x:font>
        <x:b/>
        <x:color rgb="274E13"/>
      </x:font>
      <x:fill>
        <x:patternFill patternType="solid">
          <x:bgColor rgb="D9EAD3"/>
        </x:patternFill>
      </x:fill>
    </x:dxf>
    <x:dxf>
      <x:font>
        <x:b/>
        <x:color rgb="990000"/>
      </x:font>
      <x:fill>
        <x:patternFill patternType="solid">
          <x:bgColor rgb="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4e0ef0cc304d5f" /><Relationship Type="http://schemas.openxmlformats.org/officeDocument/2006/relationships/theme" Target="/xl/theme/theme1.xml" Id="R249fc9c91a094add" /><Relationship Type="http://schemas.openxmlformats.org/officeDocument/2006/relationships/sharedStrings" Target="/xl/sharedStrings.xml" Id="R5db6ac3905624159" /><Relationship Type="http://schemas.openxmlformats.org/officeDocument/2006/relationships/worksheet" Target="/xl/worksheets/sheet1.xml" Id="R12636324c3384524" /><Relationship Type="http://schemas.openxmlformats.org/officeDocument/2006/relationships/worksheet" Target="/xl/worksheets/sheet2.xml" Id="R2825dde426514191" /><Relationship Type="http://schemas.openxmlformats.org/officeDocument/2006/relationships/worksheet" Target="/xl/worksheets/sheet3.xml" Id="Rf1a15a65aa67442c" /><Relationship Type="http://schemas.openxmlformats.org/officeDocument/2006/relationships/worksheet" Target="/xl/worksheets/sheet4.xml" Id="R3171dbdb6da54141" /><Relationship Type="http://schemas.openxmlformats.org/officeDocument/2006/relationships/worksheet" Target="/xl/worksheets/sheet5.xml" Id="Rf0d0b6bdd5f74cde" /><Relationship Type="http://schemas.openxmlformats.org/officeDocument/2006/relationships/worksheet" Target="/xl/worksheets/sheet6.xml" Id="R8cd03083b84c41f6" /><Relationship Type="http://schemas.openxmlformats.org/officeDocument/2006/relationships/worksheet" Target="/xl/worksheets/sheet7.xml" Id="R15b47ec93818428e" /><Relationship Type="http://schemas.openxmlformats.org/officeDocument/2006/relationships/worksheet" Target="/xl/worksheets/sheet8.xml" Id="Rc2748f95d1164c2d" /></Relationships>
</file>

<file path=xl/tables/table1.xml><?xml version="1.0" encoding="utf-8"?>
<x:table xmlns:x="http://schemas.openxmlformats.org/spreadsheetml/2006/main" id="1" name="IncidentsTable" displayName="IncidentsTable" ref="A2:I82" headerRowCount="1">
  <x:tableColumns count="9">
    <x:tableColumn id="1" name="incident_id"/>
    <x:tableColumn id="2" name="date"/>
    <x:tableColumn id="3" name="incident_type"/>
    <x:tableColumn id="4" name="severity"/>
    <x:tableColumn id="5" name="department"/>
    <x:tableColumn id="6" name="system"/>
    <x:tableColumn id="7" name="status"/>
    <x:tableColumn id="8" name="resolution_time_hours"/>
    <x:tableColumn id="9" name="business_impact"/>
  </x:tableColumns>
  <x:tableStyleInfo name="TableStyleMedium2" showRowStripes="1"/>
</x:table>
</file>

<file path=xl/tables/table2.xml><?xml version="1.0" encoding="utf-8"?>
<x:table xmlns:x="http://schemas.openxmlformats.org/spreadsheetml/2006/main" id="2" name="VulnerabilitiesTable" displayName="VulnerabilitiesTable" ref="A2:I47" headerRowCount="1">
  <x:tableColumns count="9">
    <x:tableColumn id="1" name="vuln_id"/>
    <x:tableColumn id="2" name="asset_id"/>
    <x:tableColumn id="3" name="asset_name"/>
    <x:tableColumn id="4" name="vulnerability"/>
    <x:tableColumn id="5" name="cvss_score"/>
    <x:tableColumn id="6" name="severity"/>
    <x:tableColumn id="7" name="patch_status"/>
    <x:tableColumn id="8" name="owner"/>
    <x:tableColumn id="9" name="discovered_date"/>
  </x:tableColumns>
  <x:tableStyleInfo name="TableStyleMedium2" showRowStripes="1"/>
</x:table>
</file>

<file path=xl/tables/table3.xml><?xml version="1.0" encoding="utf-8"?>
<x:table xmlns:x="http://schemas.openxmlformats.org/spreadsheetml/2006/main" id="3" name="AssetsTable" displayName="AssetsTable" ref="A2:G17" headerRowCount="1">
  <x:tableColumns count="7">
    <x:tableColumn id="1" name="asset_id"/>
    <x:tableColumn id="2" name="asset_name"/>
    <x:tableColumn id="3" name="asset_type"/>
    <x:tableColumn id="4" name="department"/>
    <x:tableColumn id="5" name="criticality"/>
    <x:tableColumn id="6" name="internet_facing"/>
    <x:tableColumn id="7" name="owner"/>
  </x:tableColumns>
  <x:tableStyleInfo name="TableStyleMedium2" showRowStripes="1"/>
</x:table>
</file>

<file path=xl/tables/table4.xml><?xml version="1.0" encoding="utf-8"?>
<x:table xmlns:x="http://schemas.openxmlformats.org/spreadsheetml/2006/main" id="4" name="RiskRegisterTable" displayName="RiskRegisterTable" ref="A2:H14" headerRowCount="1">
  <x:tableColumns count="8">
    <x:tableColumn id="1" name="risk_id"/>
    <x:tableColumn id="2" name="risk_description"/>
    <x:tableColumn id="3" name="likelihood"/>
    <x:tableColumn id="4" name="impact"/>
    <x:tableColumn id="5" name="risk_score"/>
    <x:tableColumn id="6" name="risk_level"/>
    <x:tableColumn id="7" name="status"/>
    <x:tableColumn id="8" name="department"/>
  </x:tableColumns>
  <x:tableStyleInfo name="TableStyleMedium2" showRowStripes="1"/>
</x:table>
</file>

<file path=xl/tables/table5.xml><?xml version="1.0" encoding="utf-8"?>
<x:table xmlns:x="http://schemas.openxmlformats.org/spreadsheetml/2006/main" id="5" name="ControlMappingTable" displayName="ControlMappingTable" ref="A2:F14" headerRowCount="1">
  <x:tableColumns count="6">
    <x:tableColumn id="1" name="mapping_id"/>
    <x:tableColumn id="2" name="risk_id"/>
    <x:tableColumn id="3" name="iso_control"/>
    <x:tableColumn id="4" name="control_purpose"/>
    <x:tableColumn id="5" name="recommendation"/>
    <x:tableColumn id="6" name="priori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a38acc3bf2a4fb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4f617eff21b40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48dc61806f84d8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5c7088accab425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d22f9eedb5e43c3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12" hidden="0" customWidth="1"/>
    <x:col min="5" max="5" width="18" hidden="0" customWidth="1"/>
    <x:col min="6" max="6" width="24" hidden="0" customWidth="1"/>
    <x:col min="7" max="7" width="14" hidden="0" customWidth="1"/>
    <x:col min="8" max="8" width="20" hidden="0" customWidth="1"/>
    <x:col min="9" max="9" width="38" hidden="0" customWidth="1"/>
  </x:cols>
  <x:sheetData>
    <x:row r="1">
      <x:c r="A1" s="5" t="str">
        <x:v>Incidents</x:v>
      </x:c>
    </x:row>
    <x:row r="2">
      <x:c r="A2" s="14" t="str">
        <x:v>incident_id</x:v>
      </x:c>
      <x:c r="B2" s="14" t="str">
        <x:v>date</x:v>
      </x:c>
      <x:c r="C2" s="14" t="str">
        <x:v>incident_type</x:v>
      </x:c>
      <x:c r="D2" s="14" t="str">
        <x:v>severity</x:v>
      </x:c>
      <x:c r="E2" s="14" t="str">
        <x:v>department</x:v>
      </x:c>
      <x:c r="F2" s="14" t="str">
        <x:v>system</x:v>
      </x:c>
      <x:c r="G2" s="14" t="str">
        <x:v>status</x:v>
      </x:c>
      <x:c r="H2" s="14" t="str">
        <x:v>resolution_time_hours</x:v>
      </x:c>
      <x:c r="I2" s="14" t="str">
        <x:v>business_impact</x:v>
      </x:c>
    </x:row>
    <x:row r="3">
      <x:c r="A3" s="20" t="str">
        <x:v>INC-001</x:v>
      </x:c>
      <x:c r="B3" s="22" t="n">
        <x:v>46051</x:v>
      </x:c>
      <x:c r="C3" s="20" t="str">
        <x:v>Phishing</x:v>
      </x:c>
      <x:c r="D3" s="20" t="str">
        <x:v>Medium</x:v>
      </x:c>
      <x:c r="E3" s="20" t="str">
        <x:v>Sales</x:v>
      </x:c>
      <x:c r="F3" s="20" t="str">
        <x:v>Sales Laptop Fleet</x:v>
      </x:c>
      <x:c r="G3" s="20" t="str">
        <x:v>Closed</x:v>
      </x:c>
      <x:c r="H3" s="20" t="n">
        <x:v>22</x:v>
      </x:c>
      <x:c r="I3" s="20" t="str">
        <x:v>Potential credential theft or payment fraud</x:v>
      </x:c>
    </x:row>
    <x:row r="4">
      <x:c r="A4" s="20" t="str">
        <x:v>INC-002</x:v>
      </x:c>
      <x:c r="B4" s="22" t="n">
        <x:v>46030</x:v>
      </x:c>
      <x:c r="C4" s="20" t="str">
        <x:v>Phishing</x:v>
      </x:c>
      <x:c r="D4" s="20" t="str">
        <x:v>High</x:v>
      </x:c>
      <x:c r="E4" s="20" t="str">
        <x:v>Sales</x:v>
      </x:c>
      <x:c r="F4" s="20" t="str">
        <x:v>Sales Laptop Fleet</x:v>
      </x:c>
      <x:c r="G4" s="20" t="str">
        <x:v>Closed</x:v>
      </x:c>
      <x:c r="H4" s="20" t="n">
        <x:v>40</x:v>
      </x:c>
      <x:c r="I4" s="20" t="str">
        <x:v>Potential credential theft or payment fraud</x:v>
      </x:c>
    </x:row>
    <x:row r="5">
      <x:c r="A5" s="20" t="str">
        <x:v>INC-003</x:v>
      </x:c>
      <x:c r="B5" s="22" t="n">
        <x:v>46094</x:v>
      </x:c>
      <x:c r="C5" s="20" t="str">
        <x:v>Unauthorized Access</x:v>
      </x:c>
      <x:c r="D5" s="20" t="str">
        <x:v>High</x:v>
      </x:c>
      <x:c r="E5" s="20" t="str">
        <x:v>Finance</x:v>
      </x:c>
      <x:c r="F5" s="20" t="str">
        <x:v>Accounting System</x:v>
      </x:c>
      <x:c r="G5" s="20" t="str">
        <x:v>Closed</x:v>
      </x:c>
      <x:c r="H5" s="20" t="n">
        <x:v>25</x:v>
      </x:c>
      <x:c r="I5" s="20" t="str">
        <x:v>Potential exposure of sensitive business data</x:v>
      </x:c>
    </x:row>
    <x:row r="6">
      <x:c r="A6" s="20" t="str">
        <x:v>INC-004</x:v>
      </x:c>
      <x:c r="B6" s="22" t="n">
        <x:v>46049</x:v>
      </x:c>
      <x:c r="C6" s="20" t="str">
        <x:v>Phishing</x:v>
      </x:c>
      <x:c r="D6" s="20" t="str">
        <x:v>High</x:v>
      </x:c>
      <x:c r="E6" s="20" t="str">
        <x:v>Finance</x:v>
      </x:c>
      <x:c r="F6" s="20" t="str">
        <x:v>Microsoft 365</x:v>
      </x:c>
      <x:c r="G6" s="20" t="str">
        <x:v>Closed</x:v>
      </x:c>
      <x:c r="H6" s="20" t="n">
        <x:v>19</x:v>
      </x:c>
      <x:c r="I6" s="20" t="str">
        <x:v>Potential credential theft or payment fraud</x:v>
      </x:c>
    </x:row>
    <x:row r="7">
      <x:c r="A7" s="20" t="str">
        <x:v>INC-005</x:v>
      </x:c>
      <x:c r="B7" s="22" t="n">
        <x:v>46043</x:v>
      </x:c>
      <x:c r="C7" s="20" t="str">
        <x:v>Malware Alert</x:v>
      </x:c>
      <x:c r="D7" s="20" t="str">
        <x:v>High</x:v>
      </x:c>
      <x:c r="E7" s="20" t="str">
        <x:v>Customer Support</x:v>
      </x:c>
      <x:c r="F7" s="20" t="str">
        <x:v>Microsoft 365</x:v>
      </x:c>
      <x:c r="G7" s="20" t="str">
        <x:v>Closed</x:v>
      </x:c>
      <x:c r="H7" s="20" t="n">
        <x:v>14</x:v>
      </x:c>
      <x:c r="I7" s="20" t="str">
        <x:v>Possible endpoint compromise and downtime</x:v>
      </x:c>
    </x:row>
    <x:row r="8">
      <x:c r="A8" s="20" t="str">
        <x:v>INC-006</x:v>
      </x:c>
      <x:c r="B8" s="22" t="n">
        <x:v>46081</x:v>
      </x:c>
      <x:c r="C8" s="20" t="str">
        <x:v>Unauthorized Access</x:v>
      </x:c>
      <x:c r="D8" s="20" t="str">
        <x:v>High</x:v>
      </x:c>
      <x:c r="E8" s="20" t="str">
        <x:v>Warehouse</x:v>
      </x:c>
      <x:c r="F8" s="20" t="str">
        <x:v>Warehouse Workstations</x:v>
      </x:c>
      <x:c r="G8" s="20" t="str">
        <x:v>Closed</x:v>
      </x:c>
      <x:c r="H8" s="20" t="n">
        <x:v>52</x:v>
      </x:c>
      <x:c r="I8" s="20" t="str">
        <x:v>Potential exposure of sensitive business data</x:v>
      </x:c>
    </x:row>
    <x:row r="9">
      <x:c r="A9" s="20" t="str">
        <x:v>INC-007</x:v>
      </x:c>
      <x:c r="B9" s="22" t="n">
        <x:v>46064</x:v>
      </x:c>
      <x:c r="C9" s="20" t="str">
        <x:v>Failed Login</x:v>
      </x:c>
      <x:c r="D9" s="20" t="str">
        <x:v>Medium</x:v>
      </x:c>
      <x:c r="E9" s="20" t="str">
        <x:v>Sales</x:v>
      </x:c>
      <x:c r="F9" s="20" t="str">
        <x:v>Sales Laptop Fleet</x:v>
      </x:c>
      <x:c r="G9" s="20" t="str">
        <x:v>Closed</x:v>
      </x:c>
      <x:c r="H9" s="20" t="n">
        <x:v>23</x:v>
      </x:c>
      <x:c r="I9" s="20" t="str">
        <x:v>Possible account takeover attempt</x:v>
      </x:c>
    </x:row>
    <x:row r="10">
      <x:c r="A10" s="20" t="str">
        <x:v>INC-008</x:v>
      </x:c>
      <x:c r="B10" s="22" t="n">
        <x:v>46159</x:v>
      </x:c>
      <x:c r="C10" s="20" t="str">
        <x:v>Unauthorized Access</x:v>
      </x:c>
      <x:c r="D10" s="20" t="str">
        <x:v>Medium</x:v>
      </x:c>
      <x:c r="E10" s="20" t="str">
        <x:v>Finance</x:v>
      </x:c>
      <x:c r="F10" s="20" t="str">
        <x:v>Finance Laptop Fleet</x:v>
      </x:c>
      <x:c r="G10" s="20" t="str">
        <x:v>Closed</x:v>
      </x:c>
      <x:c r="H10" s="20" t="n">
        <x:v>14</x:v>
      </x:c>
      <x:c r="I10" s="20" t="str">
        <x:v>Potential exposure of sensitive business data</x:v>
      </x:c>
    </x:row>
    <x:row r="11">
      <x:c r="A11" s="20" t="str">
        <x:v>INC-009</x:v>
      </x:c>
      <x:c r="B11" s="22" t="n">
        <x:v>46081</x:v>
      </x:c>
      <x:c r="C11" s="20" t="str">
        <x:v>Data Loss</x:v>
      </x:c>
      <x:c r="D11" s="20" t="str">
        <x:v>Medium</x:v>
      </x:c>
      <x:c r="E11" s="20" t="str">
        <x:v>Customer Support</x:v>
      </x:c>
      <x:c r="F11" s="20" t="str">
        <x:v>Microsoft 365</x:v>
      </x:c>
      <x:c r="G11" s="20" t="str">
        <x:v>Open</x:v>
      </x:c>
      <x:c r="H11" s="20"/>
      <x:c r="I11" s="20" t="str">
        <x:v>Possible loss of customer or operational information</x:v>
      </x:c>
    </x:row>
    <x:row r="12">
      <x:c r="A12" s="20" t="str">
        <x:v>INC-010</x:v>
      </x:c>
      <x:c r="B12" s="22" t="n">
        <x:v>46124</x:v>
      </x:c>
      <x:c r="C12" s="20" t="str">
        <x:v>Web Attack</x:v>
      </x:c>
      <x:c r="D12" s="20" t="str">
        <x:v>Low</x:v>
      </x:c>
      <x:c r="E12" s="20" t="str">
        <x:v>IT</x:v>
      </x:c>
      <x:c r="F12" s="20" t="str">
        <x:v>VPN Gateway</x:v>
      </x:c>
      <x:c r="G12" s="20" t="str">
        <x:v>Open</x:v>
      </x:c>
      <x:c r="H12" s="20"/>
      <x:c r="I12" s="20" t="str">
        <x:v>Potential disruption or compromise of online services</x:v>
      </x:c>
    </x:row>
    <x:row r="13">
      <x:c r="A13" s="20" t="str">
        <x:v>INC-011</x:v>
      </x:c>
      <x:c r="B13" s="22" t="n">
        <x:v>46079</x:v>
      </x:c>
      <x:c r="C13" s="20" t="str">
        <x:v>Web Attack</x:v>
      </x:c>
      <x:c r="D13" s="20" t="str">
        <x:v>Medium</x:v>
      </x:c>
      <x:c r="E13" s="20" t="str">
        <x:v>Finance</x:v>
      </x:c>
      <x:c r="F13" s="20" t="str">
        <x:v>Microsoft 365</x:v>
      </x:c>
      <x:c r="G13" s="20" t="str">
        <x:v>Closed</x:v>
      </x:c>
      <x:c r="H13" s="20" t="n">
        <x:v>24</x:v>
      </x:c>
      <x:c r="I13" s="20" t="str">
        <x:v>Potential disruption or compromise of online services</x:v>
      </x:c>
    </x:row>
    <x:row r="14">
      <x:c r="A14" s="20" t="str">
        <x:v>INC-012</x:v>
      </x:c>
      <x:c r="B14" s="22" t="n">
        <x:v>46131</x:v>
      </x:c>
      <x:c r="C14" s="20" t="str">
        <x:v>Malware Alert</x:v>
      </x:c>
      <x:c r="D14" s="20" t="str">
        <x:v>High</x:v>
      </x:c>
      <x:c r="E14" s="20" t="str">
        <x:v>Sales</x:v>
      </x:c>
      <x:c r="F14" s="20" t="str">
        <x:v>CRM Platform</x:v>
      </x:c>
      <x:c r="G14" s="20" t="str">
        <x:v>Closed</x:v>
      </x:c>
      <x:c r="H14" s="20" t="n">
        <x:v>55</x:v>
      </x:c>
      <x:c r="I14" s="20" t="str">
        <x:v>Possible endpoint compromise and downtime</x:v>
      </x:c>
    </x:row>
    <x:row r="15">
      <x:c r="A15" s="20" t="str">
        <x:v>INC-013</x:v>
      </x:c>
      <x:c r="B15" s="22" t="n">
        <x:v>46091</x:v>
      </x:c>
      <x:c r="C15" s="20" t="str">
        <x:v>Unauthorized Access</x:v>
      </x:c>
      <x:c r="D15" s="20" t="str">
        <x:v>Medium</x:v>
      </x:c>
      <x:c r="E15" s="20" t="str">
        <x:v>Sales</x:v>
      </x:c>
      <x:c r="F15" s="20" t="str">
        <x:v>Microsoft 365</x:v>
      </x:c>
      <x:c r="G15" s="20" t="str">
        <x:v>Open</x:v>
      </x:c>
      <x:c r="H15" s="20"/>
      <x:c r="I15" s="20" t="str">
        <x:v>Potential exposure of sensitive business data</x:v>
      </x:c>
    </x:row>
    <x:row r="16">
      <x:c r="A16" s="20" t="str">
        <x:v>INC-014</x:v>
      </x:c>
      <x:c r="B16" s="22" t="n">
        <x:v>46152</x:v>
      </x:c>
      <x:c r="C16" s="20" t="str">
        <x:v>Web Attack</x:v>
      </x:c>
      <x:c r="D16" s="20" t="str">
        <x:v>Medium</x:v>
      </x:c>
      <x:c r="E16" s="20" t="str">
        <x:v>Warehouse</x:v>
      </x:c>
      <x:c r="F16" s="20" t="str">
        <x:v>Microsoft 365</x:v>
      </x:c>
      <x:c r="G16" s="20" t="str">
        <x:v>Closed</x:v>
      </x:c>
      <x:c r="H16" s="20" t="n">
        <x:v>8</x:v>
      </x:c>
      <x:c r="I16" s="20" t="str">
        <x:v>Potential disruption or compromise of online services</x:v>
      </x:c>
    </x:row>
    <x:row r="17">
      <x:c r="A17" s="20" t="str">
        <x:v>INC-015</x:v>
      </x:c>
      <x:c r="B17" s="22" t="n">
        <x:v>46161</x:v>
      </x:c>
      <x:c r="C17" s="20" t="str">
        <x:v>Web Attack</x:v>
      </x:c>
      <x:c r="D17" s="20" t="str">
        <x:v>Critical</x:v>
      </x:c>
      <x:c r="E17" s="20" t="str">
        <x:v>Warehouse</x:v>
      </x:c>
      <x:c r="F17" s="20" t="str">
        <x:v>Warehouse Workstations</x:v>
      </x:c>
      <x:c r="G17" s="20" t="str">
        <x:v>Closed</x:v>
      </x:c>
      <x:c r="H17" s="20" t="n">
        <x:v>70</x:v>
      </x:c>
      <x:c r="I17" s="20" t="str">
        <x:v>Potential disruption or compromise of online services</x:v>
      </x:c>
    </x:row>
    <x:row r="18">
      <x:c r="A18" s="20" t="str">
        <x:v>INC-016</x:v>
      </x:c>
      <x:c r="B18" s="22" t="n">
        <x:v>46101</x:v>
      </x:c>
      <x:c r="C18" s="20" t="str">
        <x:v>Phishing</x:v>
      </x:c>
      <x:c r="D18" s="20" t="str">
        <x:v>High</x:v>
      </x:c>
      <x:c r="E18" s="20" t="str">
        <x:v>Sales</x:v>
      </x:c>
      <x:c r="F18" s="20" t="str">
        <x:v>Sales Laptop Fleet</x:v>
      </x:c>
      <x:c r="G18" s="20" t="str">
        <x:v>Open</x:v>
      </x:c>
      <x:c r="H18" s="20"/>
      <x:c r="I18" s="20" t="str">
        <x:v>Potential credential theft or payment fraud</x:v>
      </x:c>
    </x:row>
    <x:row r="19">
      <x:c r="A19" s="20" t="str">
        <x:v>INC-017</x:v>
      </x:c>
      <x:c r="B19" s="22" t="n">
        <x:v>46055</x:v>
      </x:c>
      <x:c r="C19" s="20" t="str">
        <x:v>Phishing</x:v>
      </x:c>
      <x:c r="D19" s="20" t="str">
        <x:v>Medium</x:v>
      </x:c>
      <x:c r="E19" s="20" t="str">
        <x:v>HR</x:v>
      </x:c>
      <x:c r="F19" s="20" t="str">
        <x:v>HR Laptop Fleet</x:v>
      </x:c>
      <x:c r="G19" s="20" t="str">
        <x:v>In Progress</x:v>
      </x:c>
      <x:c r="H19" s="20" t="n">
        <x:v>6</x:v>
      </x:c>
      <x:c r="I19" s="20" t="str">
        <x:v>Potential credential theft or payment fraud</x:v>
      </x:c>
    </x:row>
    <x:row r="20">
      <x:c r="A20" s="20" t="str">
        <x:v>INC-018</x:v>
      </x:c>
      <x:c r="B20" s="22" t="n">
        <x:v>46074</x:v>
      </x:c>
      <x:c r="C20" s="20" t="str">
        <x:v>Unauthorized Access</x:v>
      </x:c>
      <x:c r="D20" s="20" t="str">
        <x:v>High</x:v>
      </x:c>
      <x:c r="E20" s="20" t="str">
        <x:v>Sales</x:v>
      </x:c>
      <x:c r="F20" s="20" t="str">
        <x:v>Sales Laptop Fleet</x:v>
      </x:c>
      <x:c r="G20" s="20" t="str">
        <x:v>In Progress</x:v>
      </x:c>
      <x:c r="H20" s="20" t="n">
        <x:v>16</x:v>
      </x:c>
      <x:c r="I20" s="20" t="str">
        <x:v>Potential exposure of sensitive business data</x:v>
      </x:c>
    </x:row>
    <x:row r="21">
      <x:c r="A21" s="20" t="str">
        <x:v>INC-019</x:v>
      </x:c>
      <x:c r="B21" s="22" t="n">
        <x:v>46039</x:v>
      </x:c>
      <x:c r="C21" s="20" t="str">
        <x:v>Failed Login</x:v>
      </x:c>
      <x:c r="D21" s="20" t="str">
        <x:v>Medium</x:v>
      </x:c>
      <x:c r="E21" s="20" t="str">
        <x:v>IT</x:v>
      </x:c>
      <x:c r="F21" s="20" t="str">
        <x:v>E-commerce Web Server</x:v>
      </x:c>
      <x:c r="G21" s="20" t="str">
        <x:v>In Progress</x:v>
      </x:c>
      <x:c r="H21" s="20" t="n">
        <x:v>6</x:v>
      </x:c>
      <x:c r="I21" s="20" t="str">
        <x:v>Possible account takeover attempt</x:v>
      </x:c>
    </x:row>
    <x:row r="22">
      <x:c r="A22" s="20" t="str">
        <x:v>INC-020</x:v>
      </x:c>
      <x:c r="B22" s="22" t="n">
        <x:v>46107</x:v>
      </x:c>
      <x:c r="C22" s="20" t="str">
        <x:v>Phishing</x:v>
      </x:c>
      <x:c r="D22" s="20" t="str">
        <x:v>High</x:v>
      </x:c>
      <x:c r="E22" s="20" t="str">
        <x:v>Sales</x:v>
      </x:c>
      <x:c r="F22" s="20" t="str">
        <x:v>Microsoft 365</x:v>
      </x:c>
      <x:c r="G22" s="20" t="str">
        <x:v>In Progress</x:v>
      </x:c>
      <x:c r="H22" s="20" t="n">
        <x:v>37</x:v>
      </x:c>
      <x:c r="I22" s="20" t="str">
        <x:v>Potential credential theft or payment fraud</x:v>
      </x:c>
    </x:row>
    <x:row r="23">
      <x:c r="A23" s="20" t="str">
        <x:v>INC-021</x:v>
      </x:c>
      <x:c r="B23" s="22" t="n">
        <x:v>46127</x:v>
      </x:c>
      <x:c r="C23" s="20" t="str">
        <x:v>Phishing</x:v>
      </x:c>
      <x:c r="D23" s="20" t="str">
        <x:v>Medium</x:v>
      </x:c>
      <x:c r="E23" s="20" t="str">
        <x:v>Finance</x:v>
      </x:c>
      <x:c r="F23" s="20" t="str">
        <x:v>Accounting System</x:v>
      </x:c>
      <x:c r="G23" s="20" t="str">
        <x:v>Closed</x:v>
      </x:c>
      <x:c r="H23" s="20" t="n">
        <x:v>24</x:v>
      </x:c>
      <x:c r="I23" s="20" t="str">
        <x:v>Potential credential theft or payment fraud</x:v>
      </x:c>
    </x:row>
    <x:row r="24">
      <x:c r="A24" s="20" t="str">
        <x:v>INC-022</x:v>
      </x:c>
      <x:c r="B24" s="22" t="n">
        <x:v>46038</x:v>
      </x:c>
      <x:c r="C24" s="20" t="str">
        <x:v>Failed Login</x:v>
      </x:c>
      <x:c r="D24" s="20" t="str">
        <x:v>High</x:v>
      </x:c>
      <x:c r="E24" s="20" t="str">
        <x:v>Sales</x:v>
      </x:c>
      <x:c r="F24" s="20" t="str">
        <x:v>Microsoft 365</x:v>
      </x:c>
      <x:c r="G24" s="20" t="str">
        <x:v>In Progress</x:v>
      </x:c>
      <x:c r="H24" s="20" t="n">
        <x:v>23</x:v>
      </x:c>
      <x:c r="I24" s="20" t="str">
        <x:v>Possible account takeover attempt</x:v>
      </x:c>
    </x:row>
    <x:row r="25">
      <x:c r="A25" s="20" t="str">
        <x:v>INC-023</x:v>
      </x:c>
      <x:c r="B25" s="22" t="n">
        <x:v>46094</x:v>
      </x:c>
      <x:c r="C25" s="20" t="str">
        <x:v>Failed Login</x:v>
      </x:c>
      <x:c r="D25" s="20" t="str">
        <x:v>Low</x:v>
      </x:c>
      <x:c r="E25" s="20" t="str">
        <x:v>Warehouse</x:v>
      </x:c>
      <x:c r="F25" s="20" t="str">
        <x:v>Microsoft 365</x:v>
      </x:c>
      <x:c r="G25" s="20" t="str">
        <x:v>Closed</x:v>
      </x:c>
      <x:c r="H25" s="20" t="n">
        <x:v>2</x:v>
      </x:c>
      <x:c r="I25" s="20" t="str">
        <x:v>Possible account takeover attempt</x:v>
      </x:c>
    </x:row>
    <x:row r="26">
      <x:c r="A26" s="20" t="str">
        <x:v>INC-024</x:v>
      </x:c>
      <x:c r="B26" s="22" t="n">
        <x:v>46026</x:v>
      </x:c>
      <x:c r="C26" s="20" t="str">
        <x:v>Web Attack</x:v>
      </x:c>
      <x:c r="D26" s="20" t="str">
        <x:v>High</x:v>
      </x:c>
      <x:c r="E26" s="20" t="str">
        <x:v>Warehouse</x:v>
      </x:c>
      <x:c r="F26" s="20" t="str">
        <x:v>Warehouse Workstations</x:v>
      </x:c>
      <x:c r="G26" s="20" t="str">
        <x:v>Open</x:v>
      </x:c>
      <x:c r="H26" s="20"/>
      <x:c r="I26" s="20" t="str">
        <x:v>Potential disruption or compromise of online services</x:v>
      </x:c>
    </x:row>
    <x:row r="27">
      <x:c r="A27" s="20" t="str">
        <x:v>INC-025</x:v>
      </x:c>
      <x:c r="B27" s="22" t="n">
        <x:v>46038</x:v>
      </x:c>
      <x:c r="C27" s="20" t="str">
        <x:v>Phishing</x:v>
      </x:c>
      <x:c r="D27" s="20" t="str">
        <x:v>Medium</x:v>
      </x:c>
      <x:c r="E27" s="20" t="str">
        <x:v>Finance</x:v>
      </x:c>
      <x:c r="F27" s="20" t="str">
        <x:v>Accounting System</x:v>
      </x:c>
      <x:c r="G27" s="20" t="str">
        <x:v>Closed</x:v>
      </x:c>
      <x:c r="H27" s="20" t="n">
        <x:v>17</x:v>
      </x:c>
      <x:c r="I27" s="20" t="str">
        <x:v>Potential credential theft or payment fraud</x:v>
      </x:c>
    </x:row>
    <x:row r="28">
      <x:c r="A28" s="20" t="str">
        <x:v>INC-026</x:v>
      </x:c>
      <x:c r="B28" s="22" t="n">
        <x:v>46165</x:v>
      </x:c>
      <x:c r="C28" s="20" t="str">
        <x:v>Malware Alert</x:v>
      </x:c>
      <x:c r="D28" s="20" t="str">
        <x:v>Medium</x:v>
      </x:c>
      <x:c r="E28" s="20" t="str">
        <x:v>HR</x:v>
      </x:c>
      <x:c r="F28" s="20" t="str">
        <x:v>Microsoft 365</x:v>
      </x:c>
      <x:c r="G28" s="20" t="str">
        <x:v>In Progress</x:v>
      </x:c>
      <x:c r="H28" s="20" t="n">
        <x:v>8</x:v>
      </x:c>
      <x:c r="I28" s="20" t="str">
        <x:v>Possible endpoint compromise and downtime</x:v>
      </x:c>
    </x:row>
    <x:row r="29">
      <x:c r="A29" s="20" t="str">
        <x:v>INC-027</x:v>
      </x:c>
      <x:c r="B29" s="22" t="n">
        <x:v>46172</x:v>
      </x:c>
      <x:c r="C29" s="20" t="str">
        <x:v>Failed Login</x:v>
      </x:c>
      <x:c r="D29" s="20" t="str">
        <x:v>Medium</x:v>
      </x:c>
      <x:c r="E29" s="20" t="str">
        <x:v>Warehouse</x:v>
      </x:c>
      <x:c r="F29" s="20" t="str">
        <x:v>Microsoft 365</x:v>
      </x:c>
      <x:c r="G29" s="20" t="str">
        <x:v>Open</x:v>
      </x:c>
      <x:c r="H29" s="20"/>
      <x:c r="I29" s="20" t="str">
        <x:v>Possible account takeover attempt</x:v>
      </x:c>
    </x:row>
    <x:row r="30">
      <x:c r="A30" s="20" t="str">
        <x:v>INC-028</x:v>
      </x:c>
      <x:c r="B30" s="22" t="n">
        <x:v>46040</x:v>
      </x:c>
      <x:c r="C30" s="20" t="str">
        <x:v>Malware Alert</x:v>
      </x:c>
      <x:c r="D30" s="20" t="str">
        <x:v>Low</x:v>
      </x:c>
      <x:c r="E30" s="20" t="str">
        <x:v>Sales</x:v>
      </x:c>
      <x:c r="F30" s="20" t="str">
        <x:v>Microsoft 365</x:v>
      </x:c>
      <x:c r="G30" s="20" t="str">
        <x:v>Closed</x:v>
      </x:c>
      <x:c r="H30" s="20" t="n">
        <x:v>1</x:v>
      </x:c>
      <x:c r="I30" s="20" t="str">
        <x:v>Possible endpoint compromise and downtime</x:v>
      </x:c>
    </x:row>
    <x:row r="31">
      <x:c r="A31" s="20" t="str">
        <x:v>INC-029</x:v>
      </x:c>
      <x:c r="B31" s="22" t="n">
        <x:v>46172</x:v>
      </x:c>
      <x:c r="C31" s="20" t="str">
        <x:v>Malware Alert</x:v>
      </x:c>
      <x:c r="D31" s="20" t="str">
        <x:v>Medium</x:v>
      </x:c>
      <x:c r="E31" s="20" t="str">
        <x:v>Sales</x:v>
      </x:c>
      <x:c r="F31" s="20" t="str">
        <x:v>CRM Platform</x:v>
      </x:c>
      <x:c r="G31" s="20" t="str">
        <x:v>Closed</x:v>
      </x:c>
      <x:c r="H31" s="20" t="n">
        <x:v>12</x:v>
      </x:c>
      <x:c r="I31" s="20" t="str">
        <x:v>Possible endpoint compromise and downtime</x:v>
      </x:c>
    </x:row>
    <x:row r="32">
      <x:c r="A32" s="20" t="str">
        <x:v>INC-030</x:v>
      </x:c>
      <x:c r="B32" s="22" t="n">
        <x:v>46099</x:v>
      </x:c>
      <x:c r="C32" s="20" t="str">
        <x:v>Failed Login</x:v>
      </x:c>
      <x:c r="D32" s="20" t="str">
        <x:v>Critical</x:v>
      </x:c>
      <x:c r="E32" s="20" t="str">
        <x:v>Warehouse</x:v>
      </x:c>
      <x:c r="F32" s="20" t="str">
        <x:v>Microsoft 365</x:v>
      </x:c>
      <x:c r="G32" s="20" t="str">
        <x:v>Open</x:v>
      </x:c>
      <x:c r="H32" s="20"/>
      <x:c r="I32" s="20" t="str">
        <x:v>Possible account takeover attempt</x:v>
      </x:c>
    </x:row>
    <x:row r="33">
      <x:c r="A33" s="20" t="str">
        <x:v>INC-031</x:v>
      </x:c>
      <x:c r="B33" s="22" t="n">
        <x:v>46152</x:v>
      </x:c>
      <x:c r="C33" s="20" t="str">
        <x:v>Failed Login</x:v>
      </x:c>
      <x:c r="D33" s="20" t="str">
        <x:v>Critical</x:v>
      </x:c>
      <x:c r="E33" s="20" t="str">
        <x:v>Warehouse</x:v>
      </x:c>
      <x:c r="F33" s="20" t="str">
        <x:v>Warehouse Workstations</x:v>
      </x:c>
      <x:c r="G33" s="20" t="str">
        <x:v>Closed</x:v>
      </x:c>
      <x:c r="H33" s="20" t="n">
        <x:v>93</x:v>
      </x:c>
      <x:c r="I33" s="20" t="str">
        <x:v>Possible account takeover attempt</x:v>
      </x:c>
    </x:row>
    <x:row r="34">
      <x:c r="A34" s="20" t="str">
        <x:v>INC-032</x:v>
      </x:c>
      <x:c r="B34" s="22" t="n">
        <x:v>46100</x:v>
      </x:c>
      <x:c r="C34" s="20" t="str">
        <x:v>Malware Alert</x:v>
      </x:c>
      <x:c r="D34" s="20" t="str">
        <x:v>High</x:v>
      </x:c>
      <x:c r="E34" s="20" t="str">
        <x:v>Warehouse</x:v>
      </x:c>
      <x:c r="F34" s="20" t="str">
        <x:v>Microsoft 365</x:v>
      </x:c>
      <x:c r="G34" s="20" t="str">
        <x:v>Open</x:v>
      </x:c>
      <x:c r="H34" s="20"/>
      <x:c r="I34" s="20" t="str">
        <x:v>Possible endpoint compromise and downtime</x:v>
      </x:c>
    </x:row>
    <x:row r="35">
      <x:c r="A35" s="20" t="str">
        <x:v>INC-033</x:v>
      </x:c>
      <x:c r="B35" s="22" t="n">
        <x:v>46090</x:v>
      </x:c>
      <x:c r="C35" s="20" t="str">
        <x:v>Phishing</x:v>
      </x:c>
      <x:c r="D35" s="20" t="str">
        <x:v>Medium</x:v>
      </x:c>
      <x:c r="E35" s="20" t="str">
        <x:v>Finance</x:v>
      </x:c>
      <x:c r="F35" s="20" t="str">
        <x:v>Finance Laptop Fleet</x:v>
      </x:c>
      <x:c r="G35" s="20" t="str">
        <x:v>In Progress</x:v>
      </x:c>
      <x:c r="H35" s="20" t="n">
        <x:v>8</x:v>
      </x:c>
      <x:c r="I35" s="20" t="str">
        <x:v>Potential credential theft or payment fraud</x:v>
      </x:c>
    </x:row>
    <x:row r="36">
      <x:c r="A36" s="20" t="str">
        <x:v>INC-034</x:v>
      </x:c>
      <x:c r="B36" s="22" t="n">
        <x:v>46090</x:v>
      </x:c>
      <x:c r="C36" s="20" t="str">
        <x:v>Failed Login</x:v>
      </x:c>
      <x:c r="D36" s="20" t="str">
        <x:v>Critical</x:v>
      </x:c>
      <x:c r="E36" s="20" t="str">
        <x:v>Sales</x:v>
      </x:c>
      <x:c r="F36" s="20" t="str">
        <x:v>Sales Laptop Fleet</x:v>
      </x:c>
      <x:c r="G36" s="20" t="str">
        <x:v>Open</x:v>
      </x:c>
      <x:c r="H36" s="20"/>
      <x:c r="I36" s="20" t="str">
        <x:v>Possible account takeover attempt</x:v>
      </x:c>
    </x:row>
    <x:row r="37">
      <x:c r="A37" s="20" t="str">
        <x:v>INC-035</x:v>
      </x:c>
      <x:c r="B37" s="22" t="n">
        <x:v>46108</x:v>
      </x:c>
      <x:c r="C37" s="20" t="str">
        <x:v>Unauthorized Access</x:v>
      </x:c>
      <x:c r="D37" s="20" t="str">
        <x:v>Medium</x:v>
      </x:c>
      <x:c r="E37" s="20" t="str">
        <x:v>IT</x:v>
      </x:c>
      <x:c r="F37" s="20" t="str">
        <x:v>File Server</x:v>
      </x:c>
      <x:c r="G37" s="20" t="str">
        <x:v>Closed</x:v>
      </x:c>
      <x:c r="H37" s="20" t="n">
        <x:v>7</x:v>
      </x:c>
      <x:c r="I37" s="20" t="str">
        <x:v>Potential exposure of sensitive business data</x:v>
      </x:c>
    </x:row>
    <x:row r="38">
      <x:c r="A38" s="20" t="str">
        <x:v>INC-036</x:v>
      </x:c>
      <x:c r="B38" s="22" t="n">
        <x:v>46061</x:v>
      </x:c>
      <x:c r="C38" s="20" t="str">
        <x:v>Malware Alert</x:v>
      </x:c>
      <x:c r="D38" s="20" t="str">
        <x:v>High</x:v>
      </x:c>
      <x:c r="E38" s="20" t="str">
        <x:v>Customer Support</x:v>
      </x:c>
      <x:c r="F38" s="20" t="str">
        <x:v>Customer Support Ticketing</x:v>
      </x:c>
      <x:c r="G38" s="20" t="str">
        <x:v>Open</x:v>
      </x:c>
      <x:c r="H38" s="20"/>
      <x:c r="I38" s="20" t="str">
        <x:v>Possible endpoint compromise and downtime</x:v>
      </x:c>
    </x:row>
    <x:row r="39">
      <x:c r="A39" s="20" t="str">
        <x:v>INC-037</x:v>
      </x:c>
      <x:c r="B39" s="22" t="n">
        <x:v>46114</x:v>
      </x:c>
      <x:c r="C39" s="20" t="str">
        <x:v>Phishing</x:v>
      </x:c>
      <x:c r="D39" s="20" t="str">
        <x:v>Low</x:v>
      </x:c>
      <x:c r="E39" s="20" t="str">
        <x:v>Sales</x:v>
      </x:c>
      <x:c r="F39" s="20" t="str">
        <x:v>CRM Platform</x:v>
      </x:c>
      <x:c r="G39" s="20" t="str">
        <x:v>Closed</x:v>
      </x:c>
      <x:c r="H39" s="20" t="n">
        <x:v>3</x:v>
      </x:c>
      <x:c r="I39" s="20" t="str">
        <x:v>Potential credential theft or payment fraud</x:v>
      </x:c>
    </x:row>
    <x:row r="40">
      <x:c r="A40" s="20" t="str">
        <x:v>INC-038</x:v>
      </x:c>
      <x:c r="B40" s="22" t="n">
        <x:v>46068</x:v>
      </x:c>
      <x:c r="C40" s="20" t="str">
        <x:v>Web Attack</x:v>
      </x:c>
      <x:c r="D40" s="20" t="str">
        <x:v>High</x:v>
      </x:c>
      <x:c r="E40" s="20" t="str">
        <x:v>Finance</x:v>
      </x:c>
      <x:c r="F40" s="20" t="str">
        <x:v>Accounting System</x:v>
      </x:c>
      <x:c r="G40" s="20" t="str">
        <x:v>In Progress</x:v>
      </x:c>
      <x:c r="H40" s="20" t="n">
        <x:v>13</x:v>
      </x:c>
      <x:c r="I40" s="20" t="str">
        <x:v>Potential disruption or compromise of online services</x:v>
      </x:c>
    </x:row>
    <x:row r="41">
      <x:c r="A41" s="20" t="str">
        <x:v>INC-039</x:v>
      </x:c>
      <x:c r="B41" s="22" t="n">
        <x:v>46050</x:v>
      </x:c>
      <x:c r="C41" s="20" t="str">
        <x:v>Failed Login</x:v>
      </x:c>
      <x:c r="D41" s="20" t="str">
        <x:v>Medium</x:v>
      </x:c>
      <x:c r="E41" s="20" t="str">
        <x:v>Finance</x:v>
      </x:c>
      <x:c r="F41" s="20" t="str">
        <x:v>Accounting System</x:v>
      </x:c>
      <x:c r="G41" s="20" t="str">
        <x:v>In Progress</x:v>
      </x:c>
      <x:c r="H41" s="20" t="n">
        <x:v>7</x:v>
      </x:c>
      <x:c r="I41" s="20" t="str">
        <x:v>Possible account takeover attempt</x:v>
      </x:c>
    </x:row>
    <x:row r="42">
      <x:c r="A42" s="20" t="str">
        <x:v>INC-040</x:v>
      </x:c>
      <x:c r="B42" s="22" t="n">
        <x:v>46080</x:v>
      </x:c>
      <x:c r="C42" s="20" t="str">
        <x:v>Phishing</x:v>
      </x:c>
      <x:c r="D42" s="20" t="str">
        <x:v>Medium</x:v>
      </x:c>
      <x:c r="E42" s="20" t="str">
        <x:v>Sales</x:v>
      </x:c>
      <x:c r="F42" s="20" t="str">
        <x:v>CRM Platform</x:v>
      </x:c>
      <x:c r="G42" s="20" t="str">
        <x:v>Closed</x:v>
      </x:c>
      <x:c r="H42" s="20" t="n">
        <x:v>24</x:v>
      </x:c>
      <x:c r="I42" s="20" t="str">
        <x:v>Potential credential theft or payment fraud</x:v>
      </x:c>
    </x:row>
    <x:row r="43">
      <x:c r="A43" s="20" t="str">
        <x:v>INC-041</x:v>
      </x:c>
      <x:c r="B43" s="22" t="n">
        <x:v>46160</x:v>
      </x:c>
      <x:c r="C43" s="20" t="str">
        <x:v>Failed Login</x:v>
      </x:c>
      <x:c r="D43" s="20" t="str">
        <x:v>Critical</x:v>
      </x:c>
      <x:c r="E43" s="20" t="str">
        <x:v>Finance</x:v>
      </x:c>
      <x:c r="F43" s="20" t="str">
        <x:v>Finance Laptop Fleet</x:v>
      </x:c>
      <x:c r="G43" s="20" t="str">
        <x:v>In Progress</x:v>
      </x:c>
      <x:c r="H43" s="20" t="n">
        <x:v>60</x:v>
      </x:c>
      <x:c r="I43" s="20" t="str">
        <x:v>Possible account takeover attempt</x:v>
      </x:c>
    </x:row>
    <x:row r="44">
      <x:c r="A44" s="20" t="str">
        <x:v>INC-042</x:v>
      </x:c>
      <x:c r="B44" s="22" t="n">
        <x:v>46134</x:v>
      </x:c>
      <x:c r="C44" s="20" t="str">
        <x:v>Failed Login</x:v>
      </x:c>
      <x:c r="D44" s="20" t="str">
        <x:v>Medium</x:v>
      </x:c>
      <x:c r="E44" s="20" t="str">
        <x:v>Customer Support</x:v>
      </x:c>
      <x:c r="F44" s="20" t="str">
        <x:v>Customer Support Ticketing</x:v>
      </x:c>
      <x:c r="G44" s="20" t="str">
        <x:v>Closed</x:v>
      </x:c>
      <x:c r="H44" s="20" t="n">
        <x:v>22</x:v>
      </x:c>
      <x:c r="I44" s="20" t="str">
        <x:v>Possible account takeover attempt</x:v>
      </x:c>
    </x:row>
    <x:row r="45">
      <x:c r="A45" s="20" t="str">
        <x:v>INC-043</x:v>
      </x:c>
      <x:c r="B45" s="22" t="n">
        <x:v>46034</x:v>
      </x:c>
      <x:c r="C45" s="20" t="str">
        <x:v>Unauthorized Access</x:v>
      </x:c>
      <x:c r="D45" s="20" t="str">
        <x:v>Critical</x:v>
      </x:c>
      <x:c r="E45" s="20" t="str">
        <x:v>Finance</x:v>
      </x:c>
      <x:c r="F45" s="20" t="str">
        <x:v>Finance Laptop Fleet</x:v>
      </x:c>
      <x:c r="G45" s="20" t="str">
        <x:v>Closed</x:v>
      </x:c>
      <x:c r="H45" s="20" t="n">
        <x:v>32</x:v>
      </x:c>
      <x:c r="I45" s="20" t="str">
        <x:v>Potential exposure of sensitive business data</x:v>
      </x:c>
    </x:row>
    <x:row r="46">
      <x:c r="A46" s="20" t="str">
        <x:v>INC-044</x:v>
      </x:c>
      <x:c r="B46" s="22" t="n">
        <x:v>46107</x:v>
      </x:c>
      <x:c r="C46" s="20" t="str">
        <x:v>Malware Alert</x:v>
      </x:c>
      <x:c r="D46" s="20" t="str">
        <x:v>Low</x:v>
      </x:c>
      <x:c r="E46" s="20" t="str">
        <x:v>IT</x:v>
      </x:c>
      <x:c r="F46" s="20" t="str">
        <x:v>VPN Gateway</x:v>
      </x:c>
      <x:c r="G46" s="20" t="str">
        <x:v>Closed</x:v>
      </x:c>
      <x:c r="H46" s="20" t="n">
        <x:v>7</x:v>
      </x:c>
      <x:c r="I46" s="20" t="str">
        <x:v>Possible endpoint compromise and downtime</x:v>
      </x:c>
    </x:row>
    <x:row r="47">
      <x:c r="A47" s="20" t="str">
        <x:v>INC-045</x:v>
      </x:c>
      <x:c r="B47" s="22" t="n">
        <x:v>46098</x:v>
      </x:c>
      <x:c r="C47" s="20" t="str">
        <x:v>Malware Alert</x:v>
      </x:c>
      <x:c r="D47" s="20" t="str">
        <x:v>High</x:v>
      </x:c>
      <x:c r="E47" s="20" t="str">
        <x:v>Sales</x:v>
      </x:c>
      <x:c r="F47" s="20" t="str">
        <x:v>Sales Laptop Fleet</x:v>
      </x:c>
      <x:c r="G47" s="20" t="str">
        <x:v>In Progress</x:v>
      </x:c>
      <x:c r="H47" s="20" t="n">
        <x:v>28</x:v>
      </x:c>
      <x:c r="I47" s="20" t="str">
        <x:v>Possible endpoint compromise and downtime</x:v>
      </x:c>
    </x:row>
    <x:row r="48">
      <x:c r="A48" s="20" t="str">
        <x:v>INC-046</x:v>
      </x:c>
      <x:c r="B48" s="22" t="n">
        <x:v>46126</x:v>
      </x:c>
      <x:c r="C48" s="20" t="str">
        <x:v>Malware Alert</x:v>
      </x:c>
      <x:c r="D48" s="20" t="str">
        <x:v>Medium</x:v>
      </x:c>
      <x:c r="E48" s="20" t="str">
        <x:v>Finance</x:v>
      </x:c>
      <x:c r="F48" s="20" t="str">
        <x:v>Finance Laptop Fleet</x:v>
      </x:c>
      <x:c r="G48" s="20" t="str">
        <x:v>Closed</x:v>
      </x:c>
      <x:c r="H48" s="20" t="n">
        <x:v>18</x:v>
      </x:c>
      <x:c r="I48" s="20" t="str">
        <x:v>Possible endpoint compromise and downtime</x:v>
      </x:c>
    </x:row>
    <x:row r="49">
      <x:c r="A49" s="20" t="str">
        <x:v>INC-047</x:v>
      </x:c>
      <x:c r="B49" s="22" t="n">
        <x:v>46077</x:v>
      </x:c>
      <x:c r="C49" s="20" t="str">
        <x:v>Malware Alert</x:v>
      </x:c>
      <x:c r="D49" s="20" t="str">
        <x:v>Critical</x:v>
      </x:c>
      <x:c r="E49" s="20" t="str">
        <x:v>Customer Support</x:v>
      </x:c>
      <x:c r="F49" s="20" t="str">
        <x:v>Microsoft 365</x:v>
      </x:c>
      <x:c r="G49" s="20" t="str">
        <x:v>Closed</x:v>
      </x:c>
      <x:c r="H49" s="20" t="n">
        <x:v>108</x:v>
      </x:c>
      <x:c r="I49" s="20" t="str">
        <x:v>Possible endpoint compromise and downtime</x:v>
      </x:c>
    </x:row>
    <x:row r="50">
      <x:c r="A50" s="20" t="str">
        <x:v>INC-048</x:v>
      </x:c>
      <x:c r="B50" s="22" t="n">
        <x:v>46108</x:v>
      </x:c>
      <x:c r="C50" s="20" t="str">
        <x:v>Phishing</x:v>
      </x:c>
      <x:c r="D50" s="20" t="str">
        <x:v>Medium</x:v>
      </x:c>
      <x:c r="E50" s="20" t="str">
        <x:v>Warehouse</x:v>
      </x:c>
      <x:c r="F50" s="20" t="str">
        <x:v>Inventory System</x:v>
      </x:c>
      <x:c r="G50" s="20" t="str">
        <x:v>In Progress</x:v>
      </x:c>
      <x:c r="H50" s="20" t="n">
        <x:v>2</x:v>
      </x:c>
      <x:c r="I50" s="20" t="str">
        <x:v>Potential credential theft or payment fraud</x:v>
      </x:c>
    </x:row>
    <x:row r="51">
      <x:c r="A51" s="20" t="str">
        <x:v>INC-049</x:v>
      </x:c>
      <x:c r="B51" s="22" t="n">
        <x:v>46144</x:v>
      </x:c>
      <x:c r="C51" s="20" t="str">
        <x:v>Malware Alert</x:v>
      </x:c>
      <x:c r="D51" s="20" t="str">
        <x:v>Medium</x:v>
      </x:c>
      <x:c r="E51" s="20" t="str">
        <x:v>Customer Support</x:v>
      </x:c>
      <x:c r="F51" s="20" t="str">
        <x:v>Microsoft 365</x:v>
      </x:c>
      <x:c r="G51" s="20" t="str">
        <x:v>Closed</x:v>
      </x:c>
      <x:c r="H51" s="20" t="n">
        <x:v>16</x:v>
      </x:c>
      <x:c r="I51" s="20" t="str">
        <x:v>Possible endpoint compromise and downtime</x:v>
      </x:c>
    </x:row>
    <x:row r="52">
      <x:c r="A52" s="20" t="str">
        <x:v>INC-050</x:v>
      </x:c>
      <x:c r="B52" s="22" t="n">
        <x:v>46085</x:v>
      </x:c>
      <x:c r="C52" s="20" t="str">
        <x:v>Phishing</x:v>
      </x:c>
      <x:c r="D52" s="20" t="str">
        <x:v>Critical</x:v>
      </x:c>
      <x:c r="E52" s="20" t="str">
        <x:v>IT</x:v>
      </x:c>
      <x:c r="F52" s="20" t="str">
        <x:v>E-commerce Web Server</x:v>
      </x:c>
      <x:c r="G52" s="20" t="str">
        <x:v>Closed</x:v>
      </x:c>
      <x:c r="H52" s="20" t="n">
        <x:v>113</x:v>
      </x:c>
      <x:c r="I52" s="20" t="str">
        <x:v>Potential credential theft or payment fraud</x:v>
      </x:c>
    </x:row>
    <x:row r="53">
      <x:c r="A53" s="20" t="str">
        <x:v>INC-051</x:v>
      </x:c>
      <x:c r="B53" s="22" t="n">
        <x:v>46155</x:v>
      </x:c>
      <x:c r="C53" s="20" t="str">
        <x:v>Failed Login</x:v>
      </x:c>
      <x:c r="D53" s="20" t="str">
        <x:v>Critical</x:v>
      </x:c>
      <x:c r="E53" s="20" t="str">
        <x:v>IT</x:v>
      </x:c>
      <x:c r="F53" s="20" t="str">
        <x:v>Microsoft 365</x:v>
      </x:c>
      <x:c r="G53" s="20" t="str">
        <x:v>Open</x:v>
      </x:c>
      <x:c r="H53" s="20"/>
      <x:c r="I53" s="20" t="str">
        <x:v>Possible account takeover attempt</x:v>
      </x:c>
    </x:row>
    <x:row r="54">
      <x:c r="A54" s="20" t="str">
        <x:v>INC-052</x:v>
      </x:c>
      <x:c r="B54" s="22" t="n">
        <x:v>46104</x:v>
      </x:c>
      <x:c r="C54" s="20" t="str">
        <x:v>Web Attack</x:v>
      </x:c>
      <x:c r="D54" s="20" t="str">
        <x:v>High</x:v>
      </x:c>
      <x:c r="E54" s="20" t="str">
        <x:v>Warehouse</x:v>
      </x:c>
      <x:c r="F54" s="20" t="str">
        <x:v>Microsoft 365</x:v>
      </x:c>
      <x:c r="G54" s="20" t="str">
        <x:v>Closed</x:v>
      </x:c>
      <x:c r="H54" s="20" t="n">
        <x:v>40</x:v>
      </x:c>
      <x:c r="I54" s="20" t="str">
        <x:v>Potential disruption or compromise of online services</x:v>
      </x:c>
    </x:row>
    <x:row r="55">
      <x:c r="A55" s="20" t="str">
        <x:v>INC-053</x:v>
      </x:c>
      <x:c r="B55" s="22" t="n">
        <x:v>46144</x:v>
      </x:c>
      <x:c r="C55" s="20" t="str">
        <x:v>Failed Login</x:v>
      </x:c>
      <x:c r="D55" s="20" t="str">
        <x:v>High</x:v>
      </x:c>
      <x:c r="E55" s="20" t="str">
        <x:v>Customer Support</x:v>
      </x:c>
      <x:c r="F55" s="20" t="str">
        <x:v>Microsoft 365</x:v>
      </x:c>
      <x:c r="G55" s="20" t="str">
        <x:v>In Progress</x:v>
      </x:c>
      <x:c r="H55" s="20" t="n">
        <x:v>16</x:v>
      </x:c>
      <x:c r="I55" s="20" t="str">
        <x:v>Possible account takeover attempt</x:v>
      </x:c>
    </x:row>
    <x:row r="56">
      <x:c r="A56" s="20" t="str">
        <x:v>INC-054</x:v>
      </x:c>
      <x:c r="B56" s="22" t="n">
        <x:v>46135</x:v>
      </x:c>
      <x:c r="C56" s="20" t="str">
        <x:v>Phishing</x:v>
      </x:c>
      <x:c r="D56" s="20" t="str">
        <x:v>Medium</x:v>
      </x:c>
      <x:c r="E56" s="20" t="str">
        <x:v>Sales</x:v>
      </x:c>
      <x:c r="F56" s="20" t="str">
        <x:v>Sales Laptop Fleet</x:v>
      </x:c>
      <x:c r="G56" s="20" t="str">
        <x:v>In Progress</x:v>
      </x:c>
      <x:c r="H56" s="20" t="n">
        <x:v>4</x:v>
      </x:c>
      <x:c r="I56" s="20" t="str">
        <x:v>Potential credential theft or payment fraud</x:v>
      </x:c>
    </x:row>
    <x:row r="57">
      <x:c r="A57" s="20" t="str">
        <x:v>INC-055</x:v>
      </x:c>
      <x:c r="B57" s="22" t="n">
        <x:v>46121</x:v>
      </x:c>
      <x:c r="C57" s="20" t="str">
        <x:v>Unauthorized Access</x:v>
      </x:c>
      <x:c r="D57" s="20" t="str">
        <x:v>Low</x:v>
      </x:c>
      <x:c r="E57" s="20" t="str">
        <x:v>Customer Support</x:v>
      </x:c>
      <x:c r="F57" s="20" t="str">
        <x:v>Microsoft 365</x:v>
      </x:c>
      <x:c r="G57" s="20" t="str">
        <x:v>Closed</x:v>
      </x:c>
      <x:c r="H57" s="20" t="n">
        <x:v>8</x:v>
      </x:c>
      <x:c r="I57" s="20" t="str">
        <x:v>Potential exposure of sensitive business data</x:v>
      </x:c>
    </x:row>
    <x:row r="58">
      <x:c r="A58" s="20" t="str">
        <x:v>INC-056</x:v>
      </x:c>
      <x:c r="B58" s="22" t="n">
        <x:v>46130</x:v>
      </x:c>
      <x:c r="C58" s="20" t="str">
        <x:v>Failed Login</x:v>
      </x:c>
      <x:c r="D58" s="20" t="str">
        <x:v>Critical</x:v>
      </x:c>
      <x:c r="E58" s="20" t="str">
        <x:v>Customer Support</x:v>
      </x:c>
      <x:c r="F58" s="20" t="str">
        <x:v>Microsoft 365</x:v>
      </x:c>
      <x:c r="G58" s="20" t="str">
        <x:v>Open</x:v>
      </x:c>
      <x:c r="H58" s="20"/>
      <x:c r="I58" s="20" t="str">
        <x:v>Possible account takeover attempt</x:v>
      </x:c>
    </x:row>
    <x:row r="59">
      <x:c r="A59" s="20" t="str">
        <x:v>INC-057</x:v>
      </x:c>
      <x:c r="B59" s="22" t="n">
        <x:v>46099</x:v>
      </x:c>
      <x:c r="C59" s="20" t="str">
        <x:v>Unauthorized Access</x:v>
      </x:c>
      <x:c r="D59" s="20" t="str">
        <x:v>Critical</x:v>
      </x:c>
      <x:c r="E59" s="20" t="str">
        <x:v>Customer Support</x:v>
      </x:c>
      <x:c r="F59" s="20" t="str">
        <x:v>Microsoft 365</x:v>
      </x:c>
      <x:c r="G59" s="20" t="str">
        <x:v>Closed</x:v>
      </x:c>
      <x:c r="H59" s="20" t="n">
        <x:v>58</x:v>
      </x:c>
      <x:c r="I59" s="20" t="str">
        <x:v>Potential exposure of sensitive business data</x:v>
      </x:c>
    </x:row>
    <x:row r="60">
      <x:c r="A60" s="20" t="str">
        <x:v>INC-058</x:v>
      </x:c>
      <x:c r="B60" s="22" t="n">
        <x:v>46134</x:v>
      </x:c>
      <x:c r="C60" s="20" t="str">
        <x:v>Failed Login</x:v>
      </x:c>
      <x:c r="D60" s="20" t="str">
        <x:v>High</x:v>
      </x:c>
      <x:c r="E60" s="20" t="str">
        <x:v>Sales</x:v>
      </x:c>
      <x:c r="F60" s="20" t="str">
        <x:v>Sales Laptop Fleet</x:v>
      </x:c>
      <x:c r="G60" s="20" t="str">
        <x:v>Closed</x:v>
      </x:c>
      <x:c r="H60" s="20" t="n">
        <x:v>70</x:v>
      </x:c>
      <x:c r="I60" s="20" t="str">
        <x:v>Possible account takeover attempt</x:v>
      </x:c>
    </x:row>
    <x:row r="61">
      <x:c r="A61" s="20" t="str">
        <x:v>INC-059</x:v>
      </x:c>
      <x:c r="B61" s="22" t="n">
        <x:v>46159</x:v>
      </x:c>
      <x:c r="C61" s="20" t="str">
        <x:v>Phishing</x:v>
      </x:c>
      <x:c r="D61" s="20" t="str">
        <x:v>High</x:v>
      </x:c>
      <x:c r="E61" s="20" t="str">
        <x:v>Sales</x:v>
      </x:c>
      <x:c r="F61" s="20" t="str">
        <x:v>Sales Laptop Fleet</x:v>
      </x:c>
      <x:c r="G61" s="20" t="str">
        <x:v>Open</x:v>
      </x:c>
      <x:c r="H61" s="20"/>
      <x:c r="I61" s="20" t="str">
        <x:v>Potential credential theft or payment fraud</x:v>
      </x:c>
    </x:row>
    <x:row r="62">
      <x:c r="A62" s="20" t="str">
        <x:v>INC-060</x:v>
      </x:c>
      <x:c r="B62" s="22" t="n">
        <x:v>46069</x:v>
      </x:c>
      <x:c r="C62" s="20" t="str">
        <x:v>Phishing</x:v>
      </x:c>
      <x:c r="D62" s="20" t="str">
        <x:v>Medium</x:v>
      </x:c>
      <x:c r="E62" s="20" t="str">
        <x:v>Sales</x:v>
      </x:c>
      <x:c r="F62" s="20" t="str">
        <x:v>CRM Platform</x:v>
      </x:c>
      <x:c r="G62" s="20" t="str">
        <x:v>In Progress</x:v>
      </x:c>
      <x:c r="H62" s="20" t="n">
        <x:v>10</x:v>
      </x:c>
      <x:c r="I62" s="20" t="str">
        <x:v>Potential credential theft or payment fraud</x:v>
      </x:c>
    </x:row>
    <x:row r="63">
      <x:c r="A63" s="20" t="str">
        <x:v>INC-061</x:v>
      </x:c>
      <x:c r="B63" s="22" t="n">
        <x:v>46143</x:v>
      </x:c>
      <x:c r="C63" s="20" t="str">
        <x:v>Phishing</x:v>
      </x:c>
      <x:c r="D63" s="20" t="str">
        <x:v>Critical</x:v>
      </x:c>
      <x:c r="E63" s="20" t="str">
        <x:v>IT</x:v>
      </x:c>
      <x:c r="F63" s="20" t="str">
        <x:v>E-commerce Web Server</x:v>
      </x:c>
      <x:c r="G63" s="20" t="str">
        <x:v>In Progress</x:v>
      </x:c>
      <x:c r="H63" s="20" t="n">
        <x:v>33</x:v>
      </x:c>
      <x:c r="I63" s="20" t="str">
        <x:v>Potential credential theft or payment fraud</x:v>
      </x:c>
    </x:row>
    <x:row r="64">
      <x:c r="A64" s="20" t="str">
        <x:v>INC-062</x:v>
      </x:c>
      <x:c r="B64" s="22" t="n">
        <x:v>46074</x:v>
      </x:c>
      <x:c r="C64" s="20" t="str">
        <x:v>Data Loss</x:v>
      </x:c>
      <x:c r="D64" s="20" t="str">
        <x:v>Medium</x:v>
      </x:c>
      <x:c r="E64" s="20" t="str">
        <x:v>IT</x:v>
      </x:c>
      <x:c r="F64" s="20" t="str">
        <x:v>E-commerce Web Server</x:v>
      </x:c>
      <x:c r="G64" s="20" t="str">
        <x:v>Closed</x:v>
      </x:c>
      <x:c r="H64" s="20" t="n">
        <x:v>18</x:v>
      </x:c>
      <x:c r="I64" s="20" t="str">
        <x:v>Possible loss of customer or operational information</x:v>
      </x:c>
    </x:row>
    <x:row r="65">
      <x:c r="A65" s="20" t="str">
        <x:v>INC-063</x:v>
      </x:c>
      <x:c r="B65" s="22" t="n">
        <x:v>46117</x:v>
      </x:c>
      <x:c r="C65" s="20" t="str">
        <x:v>Phishing</x:v>
      </x:c>
      <x:c r="D65" s="20" t="str">
        <x:v>High</x:v>
      </x:c>
      <x:c r="E65" s="20" t="str">
        <x:v>IT</x:v>
      </x:c>
      <x:c r="F65" s="20" t="str">
        <x:v>Microsoft 365</x:v>
      </x:c>
      <x:c r="G65" s="20" t="str">
        <x:v>Open</x:v>
      </x:c>
      <x:c r="H65" s="20"/>
      <x:c r="I65" s="20" t="str">
        <x:v>Potential credential theft or payment fraud</x:v>
      </x:c>
    </x:row>
    <x:row r="66">
      <x:c r="A66" s="20" t="str">
        <x:v>INC-064</x:v>
      </x:c>
      <x:c r="B66" s="22" t="n">
        <x:v>46102</x:v>
      </x:c>
      <x:c r="C66" s="20" t="str">
        <x:v>Malware Alert</x:v>
      </x:c>
      <x:c r="D66" s="20" t="str">
        <x:v>Medium</x:v>
      </x:c>
      <x:c r="E66" s="20" t="str">
        <x:v>Warehouse</x:v>
      </x:c>
      <x:c r="F66" s="20" t="str">
        <x:v>Inventory System</x:v>
      </x:c>
      <x:c r="G66" s="20" t="str">
        <x:v>Closed</x:v>
      </x:c>
      <x:c r="H66" s="20" t="n">
        <x:v>22</x:v>
      </x:c>
      <x:c r="I66" s="20" t="str">
        <x:v>Possible endpoint compromise and downtime</x:v>
      </x:c>
    </x:row>
    <x:row r="67">
      <x:c r="A67" s="20" t="str">
        <x:v>INC-065</x:v>
      </x:c>
      <x:c r="B67" s="22" t="n">
        <x:v>46085</x:v>
      </x:c>
      <x:c r="C67" s="20" t="str">
        <x:v>Phishing</x:v>
      </x:c>
      <x:c r="D67" s="20" t="str">
        <x:v>High</x:v>
      </x:c>
      <x:c r="E67" s="20" t="str">
        <x:v>Customer Support</x:v>
      </x:c>
      <x:c r="F67" s="20" t="str">
        <x:v>Customer Support Ticketing</x:v>
      </x:c>
      <x:c r="G67" s="20" t="str">
        <x:v>Closed</x:v>
      </x:c>
      <x:c r="H67" s="20" t="n">
        <x:v>46</x:v>
      </x:c>
      <x:c r="I67" s="20" t="str">
        <x:v>Potential credential theft or payment fraud</x:v>
      </x:c>
    </x:row>
    <x:row r="68">
      <x:c r="A68" s="20" t="str">
        <x:v>INC-066</x:v>
      </x:c>
      <x:c r="B68" s="22" t="n">
        <x:v>46117</x:v>
      </x:c>
      <x:c r="C68" s="20" t="str">
        <x:v>Phishing</x:v>
      </x:c>
      <x:c r="D68" s="20" t="str">
        <x:v>Low</x:v>
      </x:c>
      <x:c r="E68" s="20" t="str">
        <x:v>IT</x:v>
      </x:c>
      <x:c r="F68" s="20" t="str">
        <x:v>File Server</x:v>
      </x:c>
      <x:c r="G68" s="20" t="str">
        <x:v>Closed</x:v>
      </x:c>
      <x:c r="H68" s="20" t="n">
        <x:v>2</x:v>
      </x:c>
      <x:c r="I68" s="20" t="str">
        <x:v>Potential credential theft or payment fraud</x:v>
      </x:c>
    </x:row>
    <x:row r="69">
      <x:c r="A69" s="20" t="str">
        <x:v>INC-067</x:v>
      </x:c>
      <x:c r="B69" s="22" t="n">
        <x:v>46140</x:v>
      </x:c>
      <x:c r="C69" s="20" t="str">
        <x:v>Unauthorized Access</x:v>
      </x:c>
      <x:c r="D69" s="20" t="str">
        <x:v>High</x:v>
      </x:c>
      <x:c r="E69" s="20" t="str">
        <x:v>HR</x:v>
      </x:c>
      <x:c r="F69" s="20" t="str">
        <x:v>HR Portal</x:v>
      </x:c>
      <x:c r="G69" s="20" t="str">
        <x:v>Closed</x:v>
      </x:c>
      <x:c r="H69" s="20" t="n">
        <x:v>39</x:v>
      </x:c>
      <x:c r="I69" s="20" t="str">
        <x:v>Potential exposure of sensitive business data</x:v>
      </x:c>
    </x:row>
    <x:row r="70">
      <x:c r="A70" s="20" t="str">
        <x:v>INC-068</x:v>
      </x:c>
      <x:c r="B70" s="22" t="n">
        <x:v>46091</x:v>
      </x:c>
      <x:c r="C70" s="20" t="str">
        <x:v>Failed Login</x:v>
      </x:c>
      <x:c r="D70" s="20" t="str">
        <x:v>Critical</x:v>
      </x:c>
      <x:c r="E70" s="20" t="str">
        <x:v>Sales</x:v>
      </x:c>
      <x:c r="F70" s="20" t="str">
        <x:v>CRM Platform</x:v>
      </x:c>
      <x:c r="G70" s="20" t="str">
        <x:v>In Progress</x:v>
      </x:c>
      <x:c r="H70" s="20" t="n">
        <x:v>61</x:v>
      </x:c>
      <x:c r="I70" s="20" t="str">
        <x:v>Possible account takeover attempt</x:v>
      </x:c>
    </x:row>
    <x:row r="71">
      <x:c r="A71" s="20" t="str">
        <x:v>INC-069</x:v>
      </x:c>
      <x:c r="B71" s="22" t="n">
        <x:v>46120</x:v>
      </x:c>
      <x:c r="C71" s="20" t="str">
        <x:v>Failed Login</x:v>
      </x:c>
      <x:c r="D71" s="20" t="str">
        <x:v>Medium</x:v>
      </x:c>
      <x:c r="E71" s="20" t="str">
        <x:v>HR</x:v>
      </x:c>
      <x:c r="F71" s="20" t="str">
        <x:v>HR Portal</x:v>
      </x:c>
      <x:c r="G71" s="20" t="str">
        <x:v>Closed</x:v>
      </x:c>
      <x:c r="H71" s="20" t="n">
        <x:v>14</x:v>
      </x:c>
      <x:c r="I71" s="20" t="str">
        <x:v>Possible account takeover attempt</x:v>
      </x:c>
    </x:row>
    <x:row r="72">
      <x:c r="A72" s="20" t="str">
        <x:v>INC-070</x:v>
      </x:c>
      <x:c r="B72" s="22" t="n">
        <x:v>46093</x:v>
      </x:c>
      <x:c r="C72" s="20" t="str">
        <x:v>Malware Alert</x:v>
      </x:c>
      <x:c r="D72" s="20" t="str">
        <x:v>Medium</x:v>
      </x:c>
      <x:c r="E72" s="20" t="str">
        <x:v>HR</x:v>
      </x:c>
      <x:c r="F72" s="20" t="str">
        <x:v>HR Portal</x:v>
      </x:c>
      <x:c r="G72" s="20" t="str">
        <x:v>In Progress</x:v>
      </x:c>
      <x:c r="H72" s="20" t="n">
        <x:v>12</x:v>
      </x:c>
      <x:c r="I72" s="20" t="str">
        <x:v>Possible endpoint compromise and downtime</x:v>
      </x:c>
    </x:row>
    <x:row r="73">
      <x:c r="A73" s="20" t="str">
        <x:v>INC-071</x:v>
      </x:c>
      <x:c r="B73" s="22" t="n">
        <x:v>46144</x:v>
      </x:c>
      <x:c r="C73" s="20" t="str">
        <x:v>Malware Alert</x:v>
      </x:c>
      <x:c r="D73" s="20" t="str">
        <x:v>High</x:v>
      </x:c>
      <x:c r="E73" s="20" t="str">
        <x:v>HR</x:v>
      </x:c>
      <x:c r="F73" s="20" t="str">
        <x:v>Microsoft 365</x:v>
      </x:c>
      <x:c r="G73" s="20" t="str">
        <x:v>Open</x:v>
      </x:c>
      <x:c r="H73" s="20"/>
      <x:c r="I73" s="20" t="str">
        <x:v>Possible endpoint compromise and downtime</x:v>
      </x:c>
    </x:row>
    <x:row r="74">
      <x:c r="A74" s="20" t="str">
        <x:v>INC-072</x:v>
      </x:c>
      <x:c r="B74" s="22" t="n">
        <x:v>46171</x:v>
      </x:c>
      <x:c r="C74" s="20" t="str">
        <x:v>Failed Login</x:v>
      </x:c>
      <x:c r="D74" s="20" t="str">
        <x:v>Medium</x:v>
      </x:c>
      <x:c r="E74" s="20" t="str">
        <x:v>IT</x:v>
      </x:c>
      <x:c r="F74" s="20" t="str">
        <x:v>VPN Gateway</x:v>
      </x:c>
      <x:c r="G74" s="20" t="str">
        <x:v>Closed</x:v>
      </x:c>
      <x:c r="H74" s="20" t="n">
        <x:v>18</x:v>
      </x:c>
      <x:c r="I74" s="20" t="str">
        <x:v>Possible account takeover attempt</x:v>
      </x:c>
    </x:row>
    <x:row r="75">
      <x:c r="A75" s="20" t="str">
        <x:v>INC-073</x:v>
      </x:c>
      <x:c r="B75" s="22" t="n">
        <x:v>46087</x:v>
      </x:c>
      <x:c r="C75" s="20" t="str">
        <x:v>Phishing</x:v>
      </x:c>
      <x:c r="D75" s="20" t="str">
        <x:v>Medium</x:v>
      </x:c>
      <x:c r="E75" s="20" t="str">
        <x:v>Customer Support</x:v>
      </x:c>
      <x:c r="F75" s="20" t="str">
        <x:v>Microsoft 365</x:v>
      </x:c>
      <x:c r="G75" s="20" t="str">
        <x:v>Closed</x:v>
      </x:c>
      <x:c r="H75" s="20" t="n">
        <x:v>10</x:v>
      </x:c>
      <x:c r="I75" s="20" t="str">
        <x:v>Potential credential theft or payment fraud</x:v>
      </x:c>
    </x:row>
    <x:row r="76">
      <x:c r="A76" s="20" t="str">
        <x:v>INC-074</x:v>
      </x:c>
      <x:c r="B76" s="22" t="n">
        <x:v>46146</x:v>
      </x:c>
      <x:c r="C76" s="20" t="str">
        <x:v>Failed Login</x:v>
      </x:c>
      <x:c r="D76" s="20" t="str">
        <x:v>High</x:v>
      </x:c>
      <x:c r="E76" s="20" t="str">
        <x:v>IT</x:v>
      </x:c>
      <x:c r="F76" s="20" t="str">
        <x:v>E-commerce Web Server</x:v>
      </x:c>
      <x:c r="G76" s="20" t="str">
        <x:v>Closed</x:v>
      </x:c>
      <x:c r="H76" s="20" t="n">
        <x:v>26</x:v>
      </x:c>
      <x:c r="I76" s="20" t="str">
        <x:v>Possible account takeover attempt</x:v>
      </x:c>
    </x:row>
    <x:row r="77">
      <x:c r="A77" s="20" t="str">
        <x:v>INC-075</x:v>
      </x:c>
      <x:c r="B77" s="22" t="n">
        <x:v>46068</x:v>
      </x:c>
      <x:c r="C77" s="20" t="str">
        <x:v>Failed Login</x:v>
      </x:c>
      <x:c r="D77" s="20" t="str">
        <x:v>Low</x:v>
      </x:c>
      <x:c r="E77" s="20" t="str">
        <x:v>Customer Support</x:v>
      </x:c>
      <x:c r="F77" s="20" t="str">
        <x:v>Customer Support Ticketing</x:v>
      </x:c>
      <x:c r="G77" s="20" t="str">
        <x:v>Open</x:v>
      </x:c>
      <x:c r="H77" s="20"/>
      <x:c r="I77" s="20" t="str">
        <x:v>Possible account takeover attempt</x:v>
      </x:c>
    </x:row>
    <x:row r="78">
      <x:c r="A78" s="20" t="str">
        <x:v>INC-076</x:v>
      </x:c>
      <x:c r="B78" s="22" t="n">
        <x:v>46148</x:v>
      </x:c>
      <x:c r="C78" s="20" t="str">
        <x:v>Phishing</x:v>
      </x:c>
      <x:c r="D78" s="20" t="str">
        <x:v>Medium</x:v>
      </x:c>
      <x:c r="E78" s="20" t="str">
        <x:v>Finance</x:v>
      </x:c>
      <x:c r="F78" s="20" t="str">
        <x:v>Accounting System</x:v>
      </x:c>
      <x:c r="G78" s="20" t="str">
        <x:v>Closed</x:v>
      </x:c>
      <x:c r="H78" s="20" t="n">
        <x:v>5</x:v>
      </x:c>
      <x:c r="I78" s="20" t="str">
        <x:v>Potential credential theft or payment fraud</x:v>
      </x:c>
    </x:row>
    <x:row r="79">
      <x:c r="A79" s="20" t="str">
        <x:v>INC-077</x:v>
      </x:c>
      <x:c r="B79" s="22" t="n">
        <x:v>46052</x:v>
      </x:c>
      <x:c r="C79" s="20" t="str">
        <x:v>Data Loss</x:v>
      </x:c>
      <x:c r="D79" s="20" t="str">
        <x:v>Low</x:v>
      </x:c>
      <x:c r="E79" s="20" t="str">
        <x:v>HR</x:v>
      </x:c>
      <x:c r="F79" s="20" t="str">
        <x:v>Microsoft 365</x:v>
      </x:c>
      <x:c r="G79" s="20" t="str">
        <x:v>Closed</x:v>
      </x:c>
      <x:c r="H79" s="20" t="n">
        <x:v>3</x:v>
      </x:c>
      <x:c r="I79" s="20" t="str">
        <x:v>Possible loss of customer or operational information</x:v>
      </x:c>
    </x:row>
    <x:row r="80">
      <x:c r="A80" s="20" t="str">
        <x:v>INC-078</x:v>
      </x:c>
      <x:c r="B80" s="22" t="n">
        <x:v>46100</x:v>
      </x:c>
      <x:c r="C80" s="20" t="str">
        <x:v>Phishing</x:v>
      </x:c>
      <x:c r="D80" s="20" t="str">
        <x:v>Medium</x:v>
      </x:c>
      <x:c r="E80" s="20" t="str">
        <x:v>Sales</x:v>
      </x:c>
      <x:c r="F80" s="20" t="str">
        <x:v>Sales Laptop Fleet</x:v>
      </x:c>
      <x:c r="G80" s="20" t="str">
        <x:v>Closed</x:v>
      </x:c>
      <x:c r="H80" s="20" t="n">
        <x:v>20</x:v>
      </x:c>
      <x:c r="I80" s="20" t="str">
        <x:v>Potential credential theft or payment fraud</x:v>
      </x:c>
    </x:row>
    <x:row r="81">
      <x:c r="A81" s="20" t="str">
        <x:v>INC-079</x:v>
      </x:c>
      <x:c r="B81" s="22" t="n">
        <x:v>46136</x:v>
      </x:c>
      <x:c r="C81" s="20" t="str">
        <x:v>Failed Login</x:v>
      </x:c>
      <x:c r="D81" s="20" t="str">
        <x:v>Medium</x:v>
      </x:c>
      <x:c r="E81" s="20" t="str">
        <x:v>IT</x:v>
      </x:c>
      <x:c r="F81" s="20" t="str">
        <x:v>E-commerce Web Server</x:v>
      </x:c>
      <x:c r="G81" s="20" t="str">
        <x:v>Closed</x:v>
      </x:c>
      <x:c r="H81" s="20" t="n">
        <x:v>10</x:v>
      </x:c>
      <x:c r="I81" s="20" t="str">
        <x:v>Possible account takeover attempt</x:v>
      </x:c>
    </x:row>
    <x:row r="82">
      <x:c r="A82" s="20" t="str">
        <x:v>INC-080</x:v>
      </x:c>
      <x:c r="B82" s="22" t="n">
        <x:v>46090</x:v>
      </x:c>
      <x:c r="C82" s="20" t="str">
        <x:v>Malware Alert</x:v>
      </x:c>
      <x:c r="D82" s="20" t="str">
        <x:v>Low</x:v>
      </x:c>
      <x:c r="E82" s="20" t="str">
        <x:v>Finance</x:v>
      </x:c>
      <x:c r="F82" s="20" t="str">
        <x:v>Microsoft 365</x:v>
      </x:c>
      <x:c r="G82" s="20" t="str">
        <x:v>Open</x:v>
      </x:c>
      <x:c r="H82" s="20"/>
      <x:c r="I82" s="20" t="str">
        <x:v>Possible endpoint compromise and downtime</x:v>
      </x:c>
    </x:row>
  </x:sheetData>
  <x:mergeCells>
    <x:mergeCell ref="A1:I1"/>
  </x:mergeCells>
  <x:conditionalFormatting sqref="D3:D82">
    <x:cfRule type="expression" dxfId="0" priority="1">
      <x:formula>D3="Critical"</x:formula>
    </x:cfRule>
    <x:cfRule type="expression" dxfId="1" priority="2">
      <x:formula>D3="High"</x:formula>
    </x:cfRule>
  </x:conditionalFormatting>
  <x:dataValidations count="3">
    <x:dataValidation type="list" sqref="D3:D82">
      <x:formula1>"Low,Medium,High,Critical"</x:formula1>
    </x:dataValidation>
    <x:dataValidation type="list" sqref="E3:E82">
      <x:formula1>"Finance,Sales,HR,IT,Customer Support,Warehouse"</x:formula1>
    </x:dataValidation>
    <x:dataValidation type="list" sqref="G3:G82">
      <x:formula1>"Open,In Progress,Closed"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38acc3bf2a4fb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5" hidden="0" customWidth="1"/>
    <x:col min="4" max="4" width="34" hidden="0" customWidth="1"/>
    <x:col min="5" max="5" width="12" hidden="0" customWidth="1"/>
    <x:col min="6" max="6" width="12" hidden="0" customWidth="1"/>
    <x:col min="7" max="7" width="16" hidden="0" customWidth="1"/>
    <x:col min="8" max="8" width="22" hidden="0" customWidth="1"/>
    <x:col min="9" max="9" width="15" hidden="0" customWidth="1"/>
  </x:cols>
  <x:sheetData>
    <x:row r="1">
      <x:c r="A1" s="5" t="str">
        <x:v>Vulnerabilities</x:v>
      </x:c>
    </x:row>
    <x:row r="2">
      <x:c r="A2" s="14" t="str">
        <x:v>vuln_id</x:v>
      </x:c>
      <x:c r="B2" s="14" t="str">
        <x:v>asset_id</x:v>
      </x:c>
      <x:c r="C2" s="14" t="str">
        <x:v>asset_name</x:v>
      </x:c>
      <x:c r="D2" s="14" t="str">
        <x:v>vulnerability</x:v>
      </x:c>
      <x:c r="E2" s="14" t="str">
        <x:v>cvss_score</x:v>
      </x:c>
      <x:c r="F2" s="14" t="str">
        <x:v>severity</x:v>
      </x:c>
      <x:c r="G2" s="14" t="str">
        <x:v>patch_status</x:v>
      </x:c>
      <x:c r="H2" s="14" t="str">
        <x:v>owner</x:v>
      </x:c>
      <x:c r="I2" s="14" t="str">
        <x:v>discovered_date</x:v>
      </x:c>
    </x:row>
    <x:row r="3">
      <x:c r="A3" s="20" t="str">
        <x:v>VUL-001</x:v>
      </x:c>
      <x:c r="B3" s="20" t="str">
        <x:v>AST-008</x:v>
      </x:c>
      <x:c r="C3" s="20" t="str">
        <x:v>Finance Laptop Fleet</x:v>
      </x:c>
      <x:c r="D3" s="20" t="str">
        <x:v>Unrestricted administrative access</x:v>
      </x:c>
      <x:c r="E3" s="24" t="n">
        <x:v>8.2</x:v>
      </x:c>
      <x:c r="F3" s="20" t="str">
        <x:v>High</x:v>
      </x:c>
      <x:c r="G3" s="20" t="str">
        <x:v>Not Patched</x:v>
      </x:c>
      <x:c r="H3" s="20" t="str">
        <x:v>Finance Manager</x:v>
      </x:c>
      <x:c r="I3" s="22" t="n">
        <x:v>46095</x:v>
      </x:c>
    </x:row>
    <x:row r="4">
      <x:c r="A4" s="20" t="str">
        <x:v>VUL-002</x:v>
      </x:c>
      <x:c r="B4" s="20" t="str">
        <x:v>AST-012</x:v>
      </x:c>
      <x:c r="C4" s="20" t="str">
        <x:v>Customer Database</x:v>
      </x:c>
      <x:c r="D4" s="20" t="str">
        <x:v>Missing endpoint protection update</x:v>
      </x:c>
      <x:c r="E4" s="24" t="n">
        <x:v>5.4</x:v>
      </x:c>
      <x:c r="F4" s="20" t="str">
        <x:v>Medium</x:v>
      </x:c>
      <x:c r="G4" s="20" t="str">
        <x:v>Not Patched</x:v>
      </x:c>
      <x:c r="H4" s="20" t="str">
        <x:v>IT Administrator</x:v>
      </x:c>
      <x:c r="I4" s="22" t="n">
        <x:v>46090</x:v>
      </x:c>
    </x:row>
    <x:row r="5">
      <x:c r="A5" s="20" t="str">
        <x:v>VUL-003</x:v>
      </x:c>
      <x:c r="B5" s="20" t="str">
        <x:v>AST-013</x:v>
      </x:c>
      <x:c r="C5" s="20" t="str">
        <x:v>File Server</x:v>
      </x:c>
      <x:c r="D5" s="20" t="str">
        <x:v>SQL injection exposure</x:v>
      </x:c>
      <x:c r="E5" s="24" t="n">
        <x:v>9.9</x:v>
      </x:c>
      <x:c r="F5" s="20" t="str">
        <x:v>Critical</x:v>
      </x:c>
      <x:c r="G5" s="20" t="str">
        <x:v>Patched</x:v>
      </x:c>
      <x:c r="H5" s="20" t="str">
        <x:v>IT Administrator</x:v>
      </x:c>
      <x:c r="I5" s="22" t="n">
        <x:v>46073</x:v>
      </x:c>
    </x:row>
    <x:row r="6">
      <x:c r="A6" s="20" t="str">
        <x:v>VUL-004</x:v>
      </x:c>
      <x:c r="B6" s="20" t="str">
        <x:v>AST-007</x:v>
      </x:c>
      <x:c r="C6" s="20" t="str">
        <x:v>Customer Support Ticketing</x:v>
      </x:c>
      <x:c r="D6" s="20" t="str">
        <x:v>Missing operating system security updates</x:v>
      </x:c>
      <x:c r="E6" s="24" t="n">
        <x:v>7.6</x:v>
      </x:c>
      <x:c r="F6" s="20" t="str">
        <x:v>High</x:v>
      </x:c>
      <x:c r="G6" s="20" t="str">
        <x:v>Patched</x:v>
      </x:c>
      <x:c r="H6" s="20" t="str">
        <x:v>Support Manager</x:v>
      </x:c>
      <x:c r="I6" s="22" t="n">
        <x:v>46091</x:v>
      </x:c>
    </x:row>
    <x:row r="7">
      <x:c r="A7" s="20" t="str">
        <x:v>VUL-005</x:v>
      </x:c>
      <x:c r="B7" s="20" t="str">
        <x:v>AST-014</x:v>
      </x:c>
      <x:c r="C7" s="20" t="str">
        <x:v>VPN Gateway</x:v>
      </x:c>
      <x:c r="D7" s="20" t="str">
        <x:v>Weak password policy</x:v>
      </x:c>
      <x:c r="E7" s="24" t="n">
        <x:v>6</x:v>
      </x:c>
      <x:c r="F7" s="20" t="str">
        <x:v>Medium</x:v>
      </x:c>
      <x:c r="G7" s="20" t="str">
        <x:v>Not Patched</x:v>
      </x:c>
      <x:c r="H7" s="20" t="str">
        <x:v>IT Administrator</x:v>
      </x:c>
      <x:c r="I7" s="22" t="n">
        <x:v>46101</x:v>
      </x:c>
    </x:row>
    <x:row r="8">
      <x:c r="A8" s="20" t="str">
        <x:v>VUL-006</x:v>
      </x:c>
      <x:c r="B8" s="20" t="str">
        <x:v>AST-010</x:v>
      </x:c>
      <x:c r="C8" s="20" t="str">
        <x:v>HR Laptop Fleet</x:v>
      </x:c>
      <x:c r="D8" s="20" t="str">
        <x:v>Default device credentials</x:v>
      </x:c>
      <x:c r="E8" s="24" t="n">
        <x:v>9</x:v>
      </x:c>
      <x:c r="F8" s="20" t="str">
        <x:v>Critical</x:v>
      </x:c>
      <x:c r="G8" s="20" t="str">
        <x:v>Patched</x:v>
      </x:c>
      <x:c r="H8" s="20" t="str">
        <x:v>HR Manager</x:v>
      </x:c>
      <x:c r="I8" s="22" t="n">
        <x:v>46135</x:v>
      </x:c>
    </x:row>
    <x:row r="9">
      <x:c r="A9" s="20" t="str">
        <x:v>VUL-007</x:v>
      </x:c>
      <x:c r="B9" s="20" t="str">
        <x:v>AST-002</x:v>
      </x:c>
      <x:c r="C9" s="20" t="str">
        <x:v>CRM Platform</x:v>
      </x:c>
      <x:c r="D9" s="20" t="str">
        <x:v>Missing endpoint protection update</x:v>
      </x:c>
      <x:c r="E9" s="24" t="n">
        <x:v>6.1</x:v>
      </x:c>
      <x:c r="F9" s="20" t="str">
        <x:v>Medium</x:v>
      </x:c>
      <x:c r="G9" s="20" t="str">
        <x:v>Patched</x:v>
      </x:c>
      <x:c r="H9" s="20" t="str">
        <x:v>CRM Administrator</x:v>
      </x:c>
      <x:c r="I9" s="22" t="n">
        <x:v>46092</x:v>
      </x:c>
    </x:row>
    <x:row r="10">
      <x:c r="A10" s="20" t="str">
        <x:v>VUL-008</x:v>
      </x:c>
      <x:c r="B10" s="20" t="str">
        <x:v>AST-009</x:v>
      </x:c>
      <x:c r="C10" s="20" t="str">
        <x:v>Sales Laptop Fleet</x:v>
      </x:c>
      <x:c r="D10" s="20" t="str">
        <x:v>Excessive user privileges</x:v>
      </x:c>
      <x:c r="E10" s="24" t="n">
        <x:v>7.2</x:v>
      </x:c>
      <x:c r="F10" s="20" t="str">
        <x:v>High</x:v>
      </x:c>
      <x:c r="G10" s="20" t="str">
        <x:v>Not Patched</x:v>
      </x:c>
      <x:c r="H10" s="20" t="str">
        <x:v>CRM Administrator</x:v>
      </x:c>
      <x:c r="I10" s="22" t="n">
        <x:v>46033</x:v>
      </x:c>
    </x:row>
    <x:row r="11">
      <x:c r="A11" s="20" t="str">
        <x:v>VUL-009</x:v>
      </x:c>
      <x:c r="B11" s="20" t="str">
        <x:v>AST-015</x:v>
      </x:c>
      <x:c r="C11" s="20" t="str">
        <x:v>Wireless Access Points</x:v>
      </x:c>
      <x:c r="D11" s="20" t="str">
        <x:v>Publicly exposed management interface</x:v>
      </x:c>
      <x:c r="E11" s="24" t="n">
        <x:v>9.3</x:v>
      </x:c>
      <x:c r="F11" s="20" t="str">
        <x:v>Critical</x:v>
      </x:c>
      <x:c r="G11" s="20" t="str">
        <x:v>Patched</x:v>
      </x:c>
      <x:c r="H11" s="20" t="str">
        <x:v>IT Administrator</x:v>
      </x:c>
      <x:c r="I11" s="22" t="n">
        <x:v>46029</x:v>
      </x:c>
    </x:row>
    <x:row r="12">
      <x:c r="A12" s="20" t="str">
        <x:v>VUL-010</x:v>
      </x:c>
      <x:c r="B12" s="20" t="str">
        <x:v>AST-002</x:v>
      </x:c>
      <x:c r="C12" s="20" t="str">
        <x:v>CRM Platform</x:v>
      </x:c>
      <x:c r="D12" s="20" t="str">
        <x:v>Unsupported software version</x:v>
      </x:c>
      <x:c r="E12" s="24" t="n">
        <x:v>9.7</x:v>
      </x:c>
      <x:c r="F12" s="20" t="str">
        <x:v>Critical</x:v>
      </x:c>
      <x:c r="G12" s="20" t="str">
        <x:v>Patched</x:v>
      </x:c>
      <x:c r="H12" s="20" t="str">
        <x:v>CRM Administrator</x:v>
      </x:c>
      <x:c r="I12" s="22" t="n">
        <x:v>46170</x:v>
      </x:c>
    </x:row>
    <x:row r="13">
      <x:c r="A13" s="20" t="str">
        <x:v>VUL-011</x:v>
      </x:c>
      <x:c r="B13" s="20" t="str">
        <x:v>AST-010</x:v>
      </x:c>
      <x:c r="C13" s="20" t="str">
        <x:v>HR Laptop Fleet</x:v>
      </x:c>
      <x:c r="D13" s="20" t="str">
        <x:v>Outdated web server software</x:v>
      </x:c>
      <x:c r="E13" s="24" t="n">
        <x:v>8.7</x:v>
      </x:c>
      <x:c r="F13" s="20" t="str">
        <x:v>High</x:v>
      </x:c>
      <x:c r="G13" s="20" t="str">
        <x:v>Patched</x:v>
      </x:c>
      <x:c r="H13" s="20" t="str">
        <x:v>HR Manager</x:v>
      </x:c>
      <x:c r="I13" s="22" t="n">
        <x:v>46091</x:v>
      </x:c>
    </x:row>
    <x:row r="14">
      <x:c r="A14" s="20" t="str">
        <x:v>VUL-012</x:v>
      </x:c>
      <x:c r="B14" s="20" t="str">
        <x:v>AST-010</x:v>
      </x:c>
      <x:c r="C14" s="20" t="str">
        <x:v>HR Laptop Fleet</x:v>
      </x:c>
      <x:c r="D14" s="20" t="str">
        <x:v>Outdated web server software</x:v>
      </x:c>
      <x:c r="E14" s="24" t="n">
        <x:v>8.4</x:v>
      </x:c>
      <x:c r="F14" s="20" t="str">
        <x:v>High</x:v>
      </x:c>
      <x:c r="G14" s="20" t="str">
        <x:v>Not Patched</x:v>
      </x:c>
      <x:c r="H14" s="20" t="str">
        <x:v>HR Manager</x:v>
      </x:c>
      <x:c r="I14" s="22" t="n">
        <x:v>46155</x:v>
      </x:c>
    </x:row>
    <x:row r="15">
      <x:c r="A15" s="20" t="str">
        <x:v>VUL-013</x:v>
      </x:c>
      <x:c r="B15" s="20" t="str">
        <x:v>AST-011</x:v>
      </x:c>
      <x:c r="C15" s="20" t="str">
        <x:v>Warehouse Workstations</x:v>
      </x:c>
      <x:c r="D15" s="20" t="str">
        <x:v>Missing endpoint protection update</x:v>
      </x:c>
      <x:c r="E15" s="24" t="n">
        <x:v>6.4</x:v>
      </x:c>
      <x:c r="F15" s="20" t="str">
        <x:v>Medium</x:v>
      </x:c>
      <x:c r="G15" s="20" t="str">
        <x:v>Not Patched</x:v>
      </x:c>
      <x:c r="H15" s="20" t="str">
        <x:v>Warehouse Manager</x:v>
      </x:c>
      <x:c r="I15" s="22" t="n">
        <x:v>46172</x:v>
      </x:c>
    </x:row>
    <x:row r="16">
      <x:c r="A16" s="20" t="str">
        <x:v>VUL-014</x:v>
      </x:c>
      <x:c r="B16" s="20" t="str">
        <x:v>AST-007</x:v>
      </x:c>
      <x:c r="C16" s="20" t="str">
        <x:v>Customer Support Ticketing</x:v>
      </x:c>
      <x:c r="D16" s="20" t="str">
        <x:v>SQL injection exposure</x:v>
      </x:c>
      <x:c r="E16" s="24" t="n">
        <x:v>10</x:v>
      </x:c>
      <x:c r="F16" s="20" t="str">
        <x:v>Critical</x:v>
      </x:c>
      <x:c r="G16" s="20" t="str">
        <x:v>Risk Accepted</x:v>
      </x:c>
      <x:c r="H16" s="20" t="str">
        <x:v>Support Manager</x:v>
      </x:c>
      <x:c r="I16" s="22" t="n">
        <x:v>46143</x:v>
      </x:c>
    </x:row>
    <x:row r="17">
      <x:c r="A17" s="20" t="str">
        <x:v>VUL-015</x:v>
      </x:c>
      <x:c r="B17" s="20" t="str">
        <x:v>AST-006</x:v>
      </x:c>
      <x:c r="C17" s="20" t="str">
        <x:v>Inventory System</x:v>
      </x:c>
      <x:c r="D17" s="20" t="str">
        <x:v>Publicly exposed management interface</x:v>
      </x:c>
      <x:c r="E17" s="24" t="n">
        <x:v>8.8</x:v>
      </x:c>
      <x:c r="F17" s="20" t="str">
        <x:v>High</x:v>
      </x:c>
      <x:c r="G17" s="20" t="str">
        <x:v>Patched</x:v>
      </x:c>
      <x:c r="H17" s="20" t="str">
        <x:v>Warehouse Manager</x:v>
      </x:c>
      <x:c r="I17" s="22" t="n">
        <x:v>46064</x:v>
      </x:c>
    </x:row>
    <x:row r="18">
      <x:c r="A18" s="20" t="str">
        <x:v>VUL-016</x:v>
      </x:c>
      <x:c r="B18" s="20" t="str">
        <x:v>AST-006</x:v>
      </x:c>
      <x:c r="C18" s="20" t="str">
        <x:v>Inventory System</x:v>
      </x:c>
      <x:c r="D18" s="20" t="str">
        <x:v>Publicly exposed management interface</x:v>
      </x:c>
      <x:c r="E18" s="24" t="n">
        <x:v>9.2</x:v>
      </x:c>
      <x:c r="F18" s="20" t="str">
        <x:v>Critical</x:v>
      </x:c>
      <x:c r="G18" s="20" t="str">
        <x:v>Not Patched</x:v>
      </x:c>
      <x:c r="H18" s="20" t="str">
        <x:v>Warehouse Manager</x:v>
      </x:c>
      <x:c r="I18" s="22" t="n">
        <x:v>46125</x:v>
      </x:c>
    </x:row>
    <x:row r="19">
      <x:c r="A19" s="20" t="str">
        <x:v>VUL-017</x:v>
      </x:c>
      <x:c r="B19" s="20" t="str">
        <x:v>AST-014</x:v>
      </x:c>
      <x:c r="C19" s="20" t="str">
        <x:v>VPN Gateway</x:v>
      </x:c>
      <x:c r="D19" s="20" t="str">
        <x:v>Excessive user privileges</x:v>
      </x:c>
      <x:c r="E19" s="24" t="n">
        <x:v>6.6</x:v>
      </x:c>
      <x:c r="F19" s="20" t="str">
        <x:v>Medium</x:v>
      </x:c>
      <x:c r="G19" s="20" t="str">
        <x:v>Not Patched</x:v>
      </x:c>
      <x:c r="H19" s="20" t="str">
        <x:v>IT Administrator</x:v>
      </x:c>
      <x:c r="I19" s="22" t="n">
        <x:v>46087</x:v>
      </x:c>
    </x:row>
    <x:row r="20">
      <x:c r="A20" s="20" t="str">
        <x:v>VUL-018</x:v>
      </x:c>
      <x:c r="B20" s="20" t="str">
        <x:v>AST-006</x:v>
      </x:c>
      <x:c r="C20" s="20" t="str">
        <x:v>Inventory System</x:v>
      </x:c>
      <x:c r="D20" s="20" t="str">
        <x:v>Missing operating system security updates</x:v>
      </x:c>
      <x:c r="E20" s="24" t="n">
        <x:v>8.1</x:v>
      </x:c>
      <x:c r="F20" s="20" t="str">
        <x:v>High</x:v>
      </x:c>
      <x:c r="G20" s="20" t="str">
        <x:v>In Progress</x:v>
      </x:c>
      <x:c r="H20" s="20" t="str">
        <x:v>Warehouse Manager</x:v>
      </x:c>
      <x:c r="I20" s="22" t="n">
        <x:v>46154</x:v>
      </x:c>
    </x:row>
    <x:row r="21">
      <x:c r="A21" s="20" t="str">
        <x:v>VUL-019</x:v>
      </x:c>
      <x:c r="B21" s="20" t="str">
        <x:v>AST-014</x:v>
      </x:c>
      <x:c r="C21" s="20" t="str">
        <x:v>VPN Gateway</x:v>
      </x:c>
      <x:c r="D21" s="20" t="str">
        <x:v>Outdated web server software</x:v>
      </x:c>
      <x:c r="E21" s="24" t="n">
        <x:v>8.3</x:v>
      </x:c>
      <x:c r="F21" s="20" t="str">
        <x:v>High</x:v>
      </x:c>
      <x:c r="G21" s="20" t="str">
        <x:v>In Progress</x:v>
      </x:c>
      <x:c r="H21" s="20" t="str">
        <x:v>IT Administrator</x:v>
      </x:c>
      <x:c r="I21" s="22" t="n">
        <x:v>46128</x:v>
      </x:c>
    </x:row>
    <x:row r="22">
      <x:c r="A22" s="20" t="str">
        <x:v>VUL-020</x:v>
      </x:c>
      <x:c r="B22" s="20" t="str">
        <x:v>AST-001</x:v>
      </x:c>
      <x:c r="C22" s="20" t="str">
        <x:v>E-commerce Web Server</x:v>
      </x:c>
      <x:c r="D22" s="20" t="str">
        <x:v>Unsupported software version</x:v>
      </x:c>
      <x:c r="E22" s="24" t="n">
        <x:v>9.1</x:v>
      </x:c>
      <x:c r="F22" s="20" t="str">
        <x:v>Critical</x:v>
      </x:c>
      <x:c r="G22" s="20" t="str">
        <x:v>Patched</x:v>
      </x:c>
      <x:c r="H22" s="20" t="str">
        <x:v>IT Administrator</x:v>
      </x:c>
      <x:c r="I22" s="22" t="n">
        <x:v>46150</x:v>
      </x:c>
    </x:row>
    <x:row r="23">
      <x:c r="A23" s="20" t="str">
        <x:v>VUL-021</x:v>
      </x:c>
      <x:c r="B23" s="20" t="str">
        <x:v>AST-011</x:v>
      </x:c>
      <x:c r="C23" s="20" t="str">
        <x:v>Warehouse Workstations</x:v>
      </x:c>
      <x:c r="D23" s="20" t="str">
        <x:v>Missing endpoint protection update</x:v>
      </x:c>
      <x:c r="E23" s="24" t="n">
        <x:v>6.2</x:v>
      </x:c>
      <x:c r="F23" s="20" t="str">
        <x:v>Medium</x:v>
      </x:c>
      <x:c r="G23" s="20" t="str">
        <x:v>Not Patched</x:v>
      </x:c>
      <x:c r="H23" s="20" t="str">
        <x:v>Warehouse Manager</x:v>
      </x:c>
      <x:c r="I23" s="22" t="n">
        <x:v>46163</x:v>
      </x:c>
    </x:row>
    <x:row r="24">
      <x:c r="A24" s="20" t="str">
        <x:v>VUL-022</x:v>
      </x:c>
      <x:c r="B24" s="20" t="str">
        <x:v>AST-003</x:v>
      </x:c>
      <x:c r="C24" s="20" t="str">
        <x:v>Microsoft 365</x:v>
      </x:c>
      <x:c r="D24" s="20" t="str">
        <x:v>Unrestricted administrative access</x:v>
      </x:c>
      <x:c r="E24" s="24" t="n">
        <x:v>8.7</x:v>
      </x:c>
      <x:c r="F24" s="20" t="str">
        <x:v>High</x:v>
      </x:c>
      <x:c r="G24" s="20" t="str">
        <x:v>Patched</x:v>
      </x:c>
      <x:c r="H24" s="20" t="str">
        <x:v>IT Administrator</x:v>
      </x:c>
      <x:c r="I24" s="22" t="n">
        <x:v>46054</x:v>
      </x:c>
    </x:row>
    <x:row r="25">
      <x:c r="A25" s="20" t="str">
        <x:v>VUL-023</x:v>
      </x:c>
      <x:c r="B25" s="20" t="str">
        <x:v>AST-001</x:v>
      </x:c>
      <x:c r="C25" s="20" t="str">
        <x:v>E-commerce Web Server</x:v>
      </x:c>
      <x:c r="D25" s="20" t="str">
        <x:v>SQL injection exposure</x:v>
      </x:c>
      <x:c r="E25" s="24" t="n">
        <x:v>9.9</x:v>
      </x:c>
      <x:c r="F25" s="20" t="str">
        <x:v>Critical</x:v>
      </x:c>
      <x:c r="G25" s="20" t="str">
        <x:v>Not Patched</x:v>
      </x:c>
      <x:c r="H25" s="20" t="str">
        <x:v>IT Administrator</x:v>
      </x:c>
      <x:c r="I25" s="22" t="n">
        <x:v>46063</x:v>
      </x:c>
    </x:row>
    <x:row r="26">
      <x:c r="A26" s="20" t="str">
        <x:v>VUL-024</x:v>
      </x:c>
      <x:c r="B26" s="20" t="str">
        <x:v>AST-005</x:v>
      </x:c>
      <x:c r="C26" s="20" t="str">
        <x:v>HR Portal</x:v>
      </x:c>
      <x:c r="D26" s="20" t="str">
        <x:v>Excessive user privileges</x:v>
      </x:c>
      <x:c r="E26" s="24" t="n">
        <x:v>6.6</x:v>
      </x:c>
      <x:c r="F26" s="20" t="str">
        <x:v>Medium</x:v>
      </x:c>
      <x:c r="G26" s="20" t="str">
        <x:v>In Progress</x:v>
      </x:c>
      <x:c r="H26" s="20" t="str">
        <x:v>HR Manager</x:v>
      </x:c>
      <x:c r="I26" s="22" t="n">
        <x:v>46080</x:v>
      </x:c>
    </x:row>
    <x:row r="27">
      <x:c r="A27" s="20" t="str">
        <x:v>VUL-025</x:v>
      </x:c>
      <x:c r="B27" s="20" t="str">
        <x:v>AST-014</x:v>
      </x:c>
      <x:c r="C27" s="20" t="str">
        <x:v>VPN Gateway</x:v>
      </x:c>
      <x:c r="D27" s="20" t="str">
        <x:v>Missing operating system security updates</x:v>
      </x:c>
      <x:c r="E27" s="24" t="n">
        <x:v>7.5</x:v>
      </x:c>
      <x:c r="F27" s="20" t="str">
        <x:v>High</x:v>
      </x:c>
      <x:c r="G27" s="20" t="str">
        <x:v>Not Patched</x:v>
      </x:c>
      <x:c r="H27" s="20" t="str">
        <x:v>IT Administrator</x:v>
      </x:c>
      <x:c r="I27" s="22" t="n">
        <x:v>46062</x:v>
      </x:c>
    </x:row>
    <x:row r="28">
      <x:c r="A28" s="20" t="str">
        <x:v>VUL-026</x:v>
      </x:c>
      <x:c r="B28" s="20" t="str">
        <x:v>AST-008</x:v>
      </x:c>
      <x:c r="C28" s="20" t="str">
        <x:v>Finance Laptop Fleet</x:v>
      </x:c>
      <x:c r="D28" s="20" t="str">
        <x:v>Default device credentials</x:v>
      </x:c>
      <x:c r="E28" s="24" t="n">
        <x:v>8.4</x:v>
      </x:c>
      <x:c r="F28" s="20" t="str">
        <x:v>High</x:v>
      </x:c>
      <x:c r="G28" s="20" t="str">
        <x:v>Patched</x:v>
      </x:c>
      <x:c r="H28" s="20" t="str">
        <x:v>Finance Manager</x:v>
      </x:c>
      <x:c r="I28" s="22" t="n">
        <x:v>46129</x:v>
      </x:c>
    </x:row>
    <x:row r="29">
      <x:c r="A29" s="20" t="str">
        <x:v>VUL-027</x:v>
      </x:c>
      <x:c r="B29" s="20" t="str">
        <x:v>AST-014</x:v>
      </x:c>
      <x:c r="C29" s="20" t="str">
        <x:v>VPN Gateway</x:v>
      </x:c>
      <x:c r="D29" s="20" t="str">
        <x:v>Missing endpoint protection update</x:v>
      </x:c>
      <x:c r="E29" s="24" t="n">
        <x:v>6.5</x:v>
      </x:c>
      <x:c r="F29" s="20" t="str">
        <x:v>Medium</x:v>
      </x:c>
      <x:c r="G29" s="20" t="str">
        <x:v>Not Patched</x:v>
      </x:c>
      <x:c r="H29" s="20" t="str">
        <x:v>IT Administrator</x:v>
      </x:c>
      <x:c r="I29" s="22" t="n">
        <x:v>46164</x:v>
      </x:c>
    </x:row>
    <x:row r="30">
      <x:c r="A30" s="20" t="str">
        <x:v>VUL-028</x:v>
      </x:c>
      <x:c r="B30" s="20" t="str">
        <x:v>AST-003</x:v>
      </x:c>
      <x:c r="C30" s="20" t="str">
        <x:v>Microsoft 365</x:v>
      </x:c>
      <x:c r="D30" s="20" t="str">
        <x:v>Publicly exposed management interface</x:v>
      </x:c>
      <x:c r="E30" s="24" t="n">
        <x:v>8.6</x:v>
      </x:c>
      <x:c r="F30" s="20" t="str">
        <x:v>High</x:v>
      </x:c>
      <x:c r="G30" s="20" t="str">
        <x:v>Patched</x:v>
      </x:c>
      <x:c r="H30" s="20" t="str">
        <x:v>IT Administrator</x:v>
      </x:c>
      <x:c r="I30" s="22" t="n">
        <x:v>46057</x:v>
      </x:c>
    </x:row>
    <x:row r="31">
      <x:c r="A31" s="20" t="str">
        <x:v>VUL-029</x:v>
      </x:c>
      <x:c r="B31" s="20" t="str">
        <x:v>AST-014</x:v>
      </x:c>
      <x:c r="C31" s="20" t="str">
        <x:v>VPN Gateway</x:v>
      </x:c>
      <x:c r="D31" s="20" t="str">
        <x:v>Missing operating system security updates</x:v>
      </x:c>
      <x:c r="E31" s="24" t="n">
        <x:v>7.2</x:v>
      </x:c>
      <x:c r="F31" s="20" t="str">
        <x:v>High</x:v>
      </x:c>
      <x:c r="G31" s="20" t="str">
        <x:v>Patched</x:v>
      </x:c>
      <x:c r="H31" s="20" t="str">
        <x:v>IT Administrator</x:v>
      </x:c>
      <x:c r="I31" s="22" t="n">
        <x:v>46129</x:v>
      </x:c>
    </x:row>
    <x:row r="32">
      <x:c r="A32" s="20" t="str">
        <x:v>VUL-030</x:v>
      </x:c>
      <x:c r="B32" s="20" t="str">
        <x:v>AST-006</x:v>
      </x:c>
      <x:c r="C32" s="20" t="str">
        <x:v>Inventory System</x:v>
      </x:c>
      <x:c r="D32" s="20" t="str">
        <x:v>Excessive user privileges</x:v>
      </x:c>
      <x:c r="E32" s="24" t="n">
        <x:v>6.9</x:v>
      </x:c>
      <x:c r="F32" s="20" t="str">
        <x:v>Medium</x:v>
      </x:c>
      <x:c r="G32" s="20" t="str">
        <x:v>Not Patched</x:v>
      </x:c>
      <x:c r="H32" s="20" t="str">
        <x:v>Warehouse Manager</x:v>
      </x:c>
      <x:c r="I32" s="22" t="n">
        <x:v>46099</x:v>
      </x:c>
    </x:row>
    <x:row r="33">
      <x:c r="A33" s="20" t="str">
        <x:v>VUL-031</x:v>
      </x:c>
      <x:c r="B33" s="20" t="str">
        <x:v>AST-014</x:v>
      </x:c>
      <x:c r="C33" s="20" t="str">
        <x:v>VPN Gateway</x:v>
      </x:c>
      <x:c r="D33" s="20" t="str">
        <x:v>Insufficient logging and monitoring</x:v>
      </x:c>
      <x:c r="E33" s="24" t="n">
        <x:v>5.4</x:v>
      </x:c>
      <x:c r="F33" s="20" t="str">
        <x:v>Medium</x:v>
      </x:c>
      <x:c r="G33" s="20" t="str">
        <x:v>Patched</x:v>
      </x:c>
      <x:c r="H33" s="20" t="str">
        <x:v>IT Administrator</x:v>
      </x:c>
      <x:c r="I33" s="22" t="n">
        <x:v>46061</x:v>
      </x:c>
    </x:row>
    <x:row r="34">
      <x:c r="A34" s="20" t="str">
        <x:v>VUL-032</x:v>
      </x:c>
      <x:c r="B34" s="20" t="str">
        <x:v>AST-008</x:v>
      </x:c>
      <x:c r="C34" s="20" t="str">
        <x:v>Finance Laptop Fleet</x:v>
      </x:c>
      <x:c r="D34" s="20" t="str">
        <x:v>Excessive user privileges</x:v>
      </x:c>
      <x:c r="E34" s="24" t="n">
        <x:v>7.2</x:v>
      </x:c>
      <x:c r="F34" s="20" t="str">
        <x:v>High</x:v>
      </x:c>
      <x:c r="G34" s="20" t="str">
        <x:v>In Progress</x:v>
      </x:c>
      <x:c r="H34" s="20" t="str">
        <x:v>Finance Manager</x:v>
      </x:c>
      <x:c r="I34" s="22" t="n">
        <x:v>46162</x:v>
      </x:c>
    </x:row>
    <x:row r="35">
      <x:c r="A35" s="20" t="str">
        <x:v>VUL-033</x:v>
      </x:c>
      <x:c r="B35" s="20" t="str">
        <x:v>AST-007</x:v>
      </x:c>
      <x:c r="C35" s="20" t="str">
        <x:v>Customer Support Ticketing</x:v>
      </x:c>
      <x:c r="D35" s="20" t="str">
        <x:v>Missing endpoint protection update</x:v>
      </x:c>
      <x:c r="E35" s="24" t="n">
        <x:v>6.4</x:v>
      </x:c>
      <x:c r="F35" s="20" t="str">
        <x:v>Medium</x:v>
      </x:c>
      <x:c r="G35" s="20" t="str">
        <x:v>Patched</x:v>
      </x:c>
      <x:c r="H35" s="20" t="str">
        <x:v>Support Manager</x:v>
      </x:c>
      <x:c r="I35" s="22" t="n">
        <x:v>46084</x:v>
      </x:c>
    </x:row>
    <x:row r="36">
      <x:c r="A36" s="20" t="str">
        <x:v>VUL-034</x:v>
      </x:c>
      <x:c r="B36" s="20" t="str">
        <x:v>AST-010</x:v>
      </x:c>
      <x:c r="C36" s="20" t="str">
        <x:v>HR Laptop Fleet</x:v>
      </x:c>
      <x:c r="D36" s="20" t="str">
        <x:v>Publicly exposed management interface</x:v>
      </x:c>
      <x:c r="E36" s="24" t="n">
        <x:v>8.7</x:v>
      </x:c>
      <x:c r="F36" s="20" t="str">
        <x:v>High</x:v>
      </x:c>
      <x:c r="G36" s="20" t="str">
        <x:v>Patched</x:v>
      </x:c>
      <x:c r="H36" s="20" t="str">
        <x:v>HR Manager</x:v>
      </x:c>
      <x:c r="I36" s="22" t="n">
        <x:v>46034</x:v>
      </x:c>
    </x:row>
    <x:row r="37">
      <x:c r="A37" s="20" t="str">
        <x:v>VUL-035</x:v>
      </x:c>
      <x:c r="B37" s="20" t="str">
        <x:v>AST-006</x:v>
      </x:c>
      <x:c r="C37" s="20" t="str">
        <x:v>Inventory System</x:v>
      </x:c>
      <x:c r="D37" s="20" t="str">
        <x:v>Default device credentials</x:v>
      </x:c>
      <x:c r="E37" s="24" t="n">
        <x:v>8.6</x:v>
      </x:c>
      <x:c r="F37" s="20" t="str">
        <x:v>High</x:v>
      </x:c>
      <x:c r="G37" s="20" t="str">
        <x:v>Patched</x:v>
      </x:c>
      <x:c r="H37" s="20" t="str">
        <x:v>Warehouse Manager</x:v>
      </x:c>
      <x:c r="I37" s="22" t="n">
        <x:v>46120</x:v>
      </x:c>
    </x:row>
    <x:row r="38">
      <x:c r="A38" s="20" t="str">
        <x:v>VUL-036</x:v>
      </x:c>
      <x:c r="B38" s="20" t="str">
        <x:v>AST-007</x:v>
      </x:c>
      <x:c r="C38" s="20" t="str">
        <x:v>Customer Support Ticketing</x:v>
      </x:c>
      <x:c r="D38" s="20" t="str">
        <x:v>SQL injection exposure</x:v>
      </x:c>
      <x:c r="E38" s="24" t="n">
        <x:v>10</x:v>
      </x:c>
      <x:c r="F38" s="20" t="str">
        <x:v>Critical</x:v>
      </x:c>
      <x:c r="G38" s="20" t="str">
        <x:v>Patched</x:v>
      </x:c>
      <x:c r="H38" s="20" t="str">
        <x:v>Support Manager</x:v>
      </x:c>
      <x:c r="I38" s="22" t="n">
        <x:v>46061</x:v>
      </x:c>
    </x:row>
    <x:row r="39">
      <x:c r="A39" s="20" t="str">
        <x:v>VUL-037</x:v>
      </x:c>
      <x:c r="B39" s="20" t="str">
        <x:v>AST-008</x:v>
      </x:c>
      <x:c r="C39" s="20" t="str">
        <x:v>Finance Laptop Fleet</x:v>
      </x:c>
      <x:c r="D39" s="20" t="str">
        <x:v>Outdated web server software</x:v>
      </x:c>
      <x:c r="E39" s="24" t="n">
        <x:v>7.7</x:v>
      </x:c>
      <x:c r="F39" s="20" t="str">
        <x:v>High</x:v>
      </x:c>
      <x:c r="G39" s="20" t="str">
        <x:v>Risk Accepted</x:v>
      </x:c>
      <x:c r="H39" s="20" t="str">
        <x:v>Finance Manager</x:v>
      </x:c>
      <x:c r="I39" s="22" t="n">
        <x:v>46107</x:v>
      </x:c>
    </x:row>
    <x:row r="40">
      <x:c r="A40" s="20" t="str">
        <x:v>VUL-038</x:v>
      </x:c>
      <x:c r="B40" s="20" t="str">
        <x:v>AST-014</x:v>
      </x:c>
      <x:c r="C40" s="20" t="str">
        <x:v>VPN Gateway</x:v>
      </x:c>
      <x:c r="D40" s="20" t="str">
        <x:v>Missing operating system security updates</x:v>
      </x:c>
      <x:c r="E40" s="24" t="n">
        <x:v>7.9</x:v>
      </x:c>
      <x:c r="F40" s="20" t="str">
        <x:v>High</x:v>
      </x:c>
      <x:c r="G40" s="20" t="str">
        <x:v>In Progress</x:v>
      </x:c>
      <x:c r="H40" s="20" t="str">
        <x:v>IT Administrator</x:v>
      </x:c>
      <x:c r="I40" s="22" t="n">
        <x:v>46157</x:v>
      </x:c>
    </x:row>
    <x:row r="41">
      <x:c r="A41" s="20" t="str">
        <x:v>VUL-039</x:v>
      </x:c>
      <x:c r="B41" s="20" t="str">
        <x:v>AST-015</x:v>
      </x:c>
      <x:c r="C41" s="20" t="str">
        <x:v>Wireless Access Points</x:v>
      </x:c>
      <x:c r="D41" s="20" t="str">
        <x:v>Missing endpoint protection update</x:v>
      </x:c>
      <x:c r="E41" s="24" t="n">
        <x:v>5.3</x:v>
      </x:c>
      <x:c r="F41" s="20" t="str">
        <x:v>Medium</x:v>
      </x:c>
      <x:c r="G41" s="20" t="str">
        <x:v>Not Patched</x:v>
      </x:c>
      <x:c r="H41" s="20" t="str">
        <x:v>IT Administrator</x:v>
      </x:c>
      <x:c r="I41" s="22" t="n">
        <x:v>46062</x:v>
      </x:c>
    </x:row>
    <x:row r="42">
      <x:c r="A42" s="20" t="str">
        <x:v>VUL-040</x:v>
      </x:c>
      <x:c r="B42" s="20" t="str">
        <x:v>AST-002</x:v>
      </x:c>
      <x:c r="C42" s="20" t="str">
        <x:v>CRM Platform</x:v>
      </x:c>
      <x:c r="D42" s="20" t="str">
        <x:v>Missing endpoint protection update</x:v>
      </x:c>
      <x:c r="E42" s="24" t="n">
        <x:v>6.2</x:v>
      </x:c>
      <x:c r="F42" s="20" t="str">
        <x:v>Medium</x:v>
      </x:c>
      <x:c r="G42" s="20" t="str">
        <x:v>Not Patched</x:v>
      </x:c>
      <x:c r="H42" s="20" t="str">
        <x:v>CRM Administrator</x:v>
      </x:c>
      <x:c r="I42" s="22" t="n">
        <x:v>46124</x:v>
      </x:c>
    </x:row>
    <x:row r="43">
      <x:c r="A43" s="20" t="str">
        <x:v>VUL-041</x:v>
      </x:c>
      <x:c r="B43" s="20" t="str">
        <x:v>AST-011</x:v>
      </x:c>
      <x:c r="C43" s="20" t="str">
        <x:v>Warehouse Workstations</x:v>
      </x:c>
      <x:c r="D43" s="20" t="str">
        <x:v>Missing operating system security updates</x:v>
      </x:c>
      <x:c r="E43" s="24" t="n">
        <x:v>7.9</x:v>
      </x:c>
      <x:c r="F43" s="20" t="str">
        <x:v>High</x:v>
      </x:c>
      <x:c r="G43" s="20" t="str">
        <x:v>Patched</x:v>
      </x:c>
      <x:c r="H43" s="20" t="str">
        <x:v>Warehouse Manager</x:v>
      </x:c>
      <x:c r="I43" s="22" t="n">
        <x:v>46159</x:v>
      </x:c>
    </x:row>
    <x:row r="44">
      <x:c r="A44" s="20" t="str">
        <x:v>VUL-042</x:v>
      </x:c>
      <x:c r="B44" s="20" t="str">
        <x:v>AST-007</x:v>
      </x:c>
      <x:c r="C44" s="20" t="str">
        <x:v>Customer Support Ticketing</x:v>
      </x:c>
      <x:c r="D44" s="20" t="str">
        <x:v>Insecure TLS configuration</x:v>
      </x:c>
      <x:c r="E44" s="24" t="n">
        <x:v>7</x:v>
      </x:c>
      <x:c r="F44" s="20" t="str">
        <x:v>High</x:v>
      </x:c>
      <x:c r="G44" s="20" t="str">
        <x:v>Patched</x:v>
      </x:c>
      <x:c r="H44" s="20" t="str">
        <x:v>Support Manager</x:v>
      </x:c>
      <x:c r="I44" s="22" t="n">
        <x:v>46147</x:v>
      </x:c>
    </x:row>
    <x:row r="45">
      <x:c r="A45" s="20" t="str">
        <x:v>VUL-043</x:v>
      </x:c>
      <x:c r="B45" s="20" t="str">
        <x:v>AST-014</x:v>
      </x:c>
      <x:c r="C45" s="20" t="str">
        <x:v>VPN Gateway</x:v>
      </x:c>
      <x:c r="D45" s="20" t="str">
        <x:v>Excessive user privileges</x:v>
      </x:c>
      <x:c r="E45" s="24" t="n">
        <x:v>6.6</x:v>
      </x:c>
      <x:c r="F45" s="20" t="str">
        <x:v>Medium</x:v>
      </x:c>
      <x:c r="G45" s="20" t="str">
        <x:v>Not Patched</x:v>
      </x:c>
      <x:c r="H45" s="20" t="str">
        <x:v>IT Administrator</x:v>
      </x:c>
      <x:c r="I45" s="22" t="n">
        <x:v>46096</x:v>
      </x:c>
    </x:row>
    <x:row r="46">
      <x:c r="A46" s="20" t="str">
        <x:v>VUL-044</x:v>
      </x:c>
      <x:c r="B46" s="20" t="str">
        <x:v>AST-004</x:v>
      </x:c>
      <x:c r="C46" s="20" t="str">
        <x:v>Accounting System</x:v>
      </x:c>
      <x:c r="D46" s="20" t="str">
        <x:v>Default device credentials</x:v>
      </x:c>
      <x:c r="E46" s="24" t="n">
        <x:v>8.1</x:v>
      </x:c>
      <x:c r="F46" s="20" t="str">
        <x:v>High</x:v>
      </x:c>
      <x:c r="G46" s="20" t="str">
        <x:v>Risk Accepted</x:v>
      </x:c>
      <x:c r="H46" s="20" t="str">
        <x:v>Finance Manager</x:v>
      </x:c>
      <x:c r="I46" s="22" t="n">
        <x:v>46048</x:v>
      </x:c>
    </x:row>
    <x:row r="47">
      <x:c r="A47" s="20" t="str">
        <x:v>VUL-045</x:v>
      </x:c>
      <x:c r="B47" s="20" t="str">
        <x:v>AST-008</x:v>
      </x:c>
      <x:c r="C47" s="20" t="str">
        <x:v>Finance Laptop Fleet</x:v>
      </x:c>
      <x:c r="D47" s="20" t="str">
        <x:v>Weak password policy</x:v>
      </x:c>
      <x:c r="E47" s="24" t="n">
        <x:v>6.7</x:v>
      </x:c>
      <x:c r="F47" s="20" t="str">
        <x:v>Medium</x:v>
      </x:c>
      <x:c r="G47" s="20" t="str">
        <x:v>Patched</x:v>
      </x:c>
      <x:c r="H47" s="20" t="str">
        <x:v>Finance Manager</x:v>
      </x:c>
      <x:c r="I47" s="22" t="n">
        <x:v>46034</x:v>
      </x:c>
    </x:row>
  </x:sheetData>
  <x:mergeCells>
    <x:mergeCell ref="A1:I1"/>
  </x:mergeCells>
  <x:conditionalFormatting sqref="E3:E47">
    <x:cfRule type="colorScale" priority="1">
      <x:colorScale>
        <x:cfvo type="min"/>
        <x:cfvo type="percentile" val="50"/>
        <x:cfvo type="max"/>
        <x:color rgb="D9EAD3"/>
        <x:color rgb="FFF2CC"/>
        <x:color rgb="F4CCCC"/>
      </x:colorScale>
    </x:cfRule>
  </x:conditionalFormatting>
  <x:dataValidations count="2">
    <x:dataValidation type="list" sqref="F3:F47">
      <x:formula1>"Low,Medium,High,Critical"</x:formula1>
    </x:dataValidation>
    <x:dataValidation type="list" sqref="G3:G47">
      <x:formula1>"Not Patched,In Progress,Patched,Risk Accepted"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4f617eff21b407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8" hidden="0" customWidth="1"/>
    <x:col min="4" max="4" width="18" hidden="0" customWidth="1"/>
    <x:col min="5" max="5" width="14" hidden="0" customWidth="1"/>
    <x:col min="6" max="6" width="16" hidden="0" customWidth="1"/>
    <x:col min="7" max="7" width="24" hidden="0" customWidth="1"/>
  </x:cols>
  <x:sheetData>
    <x:row r="1">
      <x:c r="A1" s="5" t="str">
        <x:v>Assets</x:v>
      </x:c>
    </x:row>
    <x:row r="2">
      <x:c r="A2" s="14" t="str">
        <x:v>asset_id</x:v>
      </x:c>
      <x:c r="B2" s="14" t="str">
        <x:v>asset_name</x:v>
      </x:c>
      <x:c r="C2" s="14" t="str">
        <x:v>asset_type</x:v>
      </x:c>
      <x:c r="D2" s="14" t="str">
        <x:v>department</x:v>
      </x:c>
      <x:c r="E2" s="14" t="str">
        <x:v>criticality</x:v>
      </x:c>
      <x:c r="F2" s="14" t="str">
        <x:v>internet_facing</x:v>
      </x:c>
      <x:c r="G2" s="14" t="str">
        <x:v>owner</x:v>
      </x:c>
    </x:row>
    <x:row r="3">
      <x:c r="A3" s="20" t="str">
        <x:v>AST-001</x:v>
      </x:c>
      <x:c r="B3" s="20" t="str">
        <x:v>E-commerce Web Server</x:v>
      </x:c>
      <x:c r="C3" s="20" t="str">
        <x:v>Server</x:v>
      </x:c>
      <x:c r="D3" s="20" t="str">
        <x:v>IT</x:v>
      </x:c>
      <x:c r="E3" s="20" t="str">
        <x:v>Critical</x:v>
      </x:c>
      <x:c r="F3" s="20" t="str">
        <x:v>Yes</x:v>
      </x:c>
      <x:c r="G3" s="20" t="str">
        <x:v>IT Administrator</x:v>
      </x:c>
    </x:row>
    <x:row r="4">
      <x:c r="A4" s="20" t="str">
        <x:v>AST-002</x:v>
      </x:c>
      <x:c r="B4" s="20" t="str">
        <x:v>CRM Platform</x:v>
      </x:c>
      <x:c r="C4" s="20" t="str">
        <x:v>Application</x:v>
      </x:c>
      <x:c r="D4" s="20" t="str">
        <x:v>Sales</x:v>
      </x:c>
      <x:c r="E4" s="20" t="str">
        <x:v>Critical</x:v>
      </x:c>
      <x:c r="F4" s="20" t="str">
        <x:v>Yes</x:v>
      </x:c>
      <x:c r="G4" s="20" t="str">
        <x:v>CRM Administrator</x:v>
      </x:c>
    </x:row>
    <x:row r="5">
      <x:c r="A5" s="20" t="str">
        <x:v>AST-003</x:v>
      </x:c>
      <x:c r="B5" s="20" t="str">
        <x:v>Microsoft 365</x:v>
      </x:c>
      <x:c r="C5" s="20" t="str">
        <x:v>Cloud Service</x:v>
      </x:c>
      <x:c r="D5" s="20" t="str">
        <x:v>IT</x:v>
      </x:c>
      <x:c r="E5" s="20" t="str">
        <x:v>Critical</x:v>
      </x:c>
      <x:c r="F5" s="20" t="str">
        <x:v>Yes</x:v>
      </x:c>
      <x:c r="G5" s="20" t="str">
        <x:v>IT Administrator</x:v>
      </x:c>
    </x:row>
    <x:row r="6">
      <x:c r="A6" s="20" t="str">
        <x:v>AST-004</x:v>
      </x:c>
      <x:c r="B6" s="20" t="str">
        <x:v>Accounting System</x:v>
      </x:c>
      <x:c r="C6" s="20" t="str">
        <x:v>Application</x:v>
      </x:c>
      <x:c r="D6" s="20" t="str">
        <x:v>Finance</x:v>
      </x:c>
      <x:c r="E6" s="20" t="str">
        <x:v>Critical</x:v>
      </x:c>
      <x:c r="F6" s="20" t="str">
        <x:v>No</x:v>
      </x:c>
      <x:c r="G6" s="20" t="str">
        <x:v>Finance Manager</x:v>
      </x:c>
    </x:row>
    <x:row r="7">
      <x:c r="A7" s="20" t="str">
        <x:v>AST-005</x:v>
      </x:c>
      <x:c r="B7" s="20" t="str">
        <x:v>HR Portal</x:v>
      </x:c>
      <x:c r="C7" s="20" t="str">
        <x:v>Application</x:v>
      </x:c>
      <x:c r="D7" s="20" t="str">
        <x:v>HR</x:v>
      </x:c>
      <x:c r="E7" s="20" t="str">
        <x:v>High</x:v>
      </x:c>
      <x:c r="F7" s="20" t="str">
        <x:v>No</x:v>
      </x:c>
      <x:c r="G7" s="20" t="str">
        <x:v>HR Manager</x:v>
      </x:c>
    </x:row>
    <x:row r="8">
      <x:c r="A8" s="20" t="str">
        <x:v>AST-006</x:v>
      </x:c>
      <x:c r="B8" s="20" t="str">
        <x:v>Inventory System</x:v>
      </x:c>
      <x:c r="C8" s="20" t="str">
        <x:v>Application</x:v>
      </x:c>
      <x:c r="D8" s="20" t="str">
        <x:v>Warehouse</x:v>
      </x:c>
      <x:c r="E8" s="20" t="str">
        <x:v>High</x:v>
      </x:c>
      <x:c r="F8" s="20" t="str">
        <x:v>No</x:v>
      </x:c>
      <x:c r="G8" s="20" t="str">
        <x:v>Warehouse Manager</x:v>
      </x:c>
    </x:row>
    <x:row r="9">
      <x:c r="A9" s="20" t="str">
        <x:v>AST-007</x:v>
      </x:c>
      <x:c r="B9" s="20" t="str">
        <x:v>Customer Support Ticketing</x:v>
      </x:c>
      <x:c r="C9" s="20" t="str">
        <x:v>Application</x:v>
      </x:c>
      <x:c r="D9" s="20" t="str">
        <x:v>Customer Support</x:v>
      </x:c>
      <x:c r="E9" s="20" t="str">
        <x:v>High</x:v>
      </x:c>
      <x:c r="F9" s="20" t="str">
        <x:v>Yes</x:v>
      </x:c>
      <x:c r="G9" s="20" t="str">
        <x:v>Support Manager</x:v>
      </x:c>
    </x:row>
    <x:row r="10">
      <x:c r="A10" s="20" t="str">
        <x:v>AST-008</x:v>
      </x:c>
      <x:c r="B10" s="20" t="str">
        <x:v>Finance Laptop Fleet</x:v>
      </x:c>
      <x:c r="C10" s="20" t="str">
        <x:v>Endpoint</x:v>
      </x:c>
      <x:c r="D10" s="20" t="str">
        <x:v>Finance</x:v>
      </x:c>
      <x:c r="E10" s="20" t="str">
        <x:v>High</x:v>
      </x:c>
      <x:c r="F10" s="20" t="str">
        <x:v>No</x:v>
      </x:c>
      <x:c r="G10" s="20" t="str">
        <x:v>IT Administrator</x:v>
      </x:c>
    </x:row>
    <x:row r="11">
      <x:c r="A11" s="20" t="str">
        <x:v>AST-009</x:v>
      </x:c>
      <x:c r="B11" s="20" t="str">
        <x:v>Sales Laptop Fleet</x:v>
      </x:c>
      <x:c r="C11" s="20" t="str">
        <x:v>Endpoint</x:v>
      </x:c>
      <x:c r="D11" s="20" t="str">
        <x:v>Sales</x:v>
      </x:c>
      <x:c r="E11" s="20" t="str">
        <x:v>Medium</x:v>
      </x:c>
      <x:c r="F11" s="20" t="str">
        <x:v>No</x:v>
      </x:c>
      <x:c r="G11" s="20" t="str">
        <x:v>IT Administrator</x:v>
      </x:c>
    </x:row>
    <x:row r="12">
      <x:c r="A12" s="20" t="str">
        <x:v>AST-010</x:v>
      </x:c>
      <x:c r="B12" s="20" t="str">
        <x:v>HR Laptop Fleet</x:v>
      </x:c>
      <x:c r="C12" s="20" t="str">
        <x:v>Endpoint</x:v>
      </x:c>
      <x:c r="D12" s="20" t="str">
        <x:v>HR</x:v>
      </x:c>
      <x:c r="E12" s="20" t="str">
        <x:v>Medium</x:v>
      </x:c>
      <x:c r="F12" s="20" t="str">
        <x:v>No</x:v>
      </x:c>
      <x:c r="G12" s="20" t="str">
        <x:v>IT Administrator</x:v>
      </x:c>
    </x:row>
    <x:row r="13">
      <x:c r="A13" s="20" t="str">
        <x:v>AST-011</x:v>
      </x:c>
      <x:c r="B13" s="20" t="str">
        <x:v>Warehouse Workstations</x:v>
      </x:c>
      <x:c r="C13" s="20" t="str">
        <x:v>Endpoint</x:v>
      </x:c>
      <x:c r="D13" s="20" t="str">
        <x:v>Warehouse</x:v>
      </x:c>
      <x:c r="E13" s="20" t="str">
        <x:v>Medium</x:v>
      </x:c>
      <x:c r="F13" s="20" t="str">
        <x:v>No</x:v>
      </x:c>
      <x:c r="G13" s="20" t="str">
        <x:v>IT Administrator</x:v>
      </x:c>
    </x:row>
    <x:row r="14">
      <x:c r="A14" s="20" t="str">
        <x:v>AST-012</x:v>
      </x:c>
      <x:c r="B14" s="20" t="str">
        <x:v>Customer Database</x:v>
      </x:c>
      <x:c r="C14" s="20" t="str">
        <x:v>Database</x:v>
      </x:c>
      <x:c r="D14" s="20" t="str">
        <x:v>IT</x:v>
      </x:c>
      <x:c r="E14" s="20" t="str">
        <x:v>Critical</x:v>
      </x:c>
      <x:c r="F14" s="20" t="str">
        <x:v>No</x:v>
      </x:c>
      <x:c r="G14" s="20" t="str">
        <x:v>Database Administrator</x:v>
      </x:c>
    </x:row>
    <x:row r="15">
      <x:c r="A15" s="20" t="str">
        <x:v>AST-013</x:v>
      </x:c>
      <x:c r="B15" s="20" t="str">
        <x:v>File Server</x:v>
      </x:c>
      <x:c r="C15" s="20" t="str">
        <x:v>Server</x:v>
      </x:c>
      <x:c r="D15" s="20" t="str">
        <x:v>IT</x:v>
      </x:c>
      <x:c r="E15" s="20" t="str">
        <x:v>High</x:v>
      </x:c>
      <x:c r="F15" s="20" t="str">
        <x:v>No</x:v>
      </x:c>
      <x:c r="G15" s="20" t="str">
        <x:v>IT Administrator</x:v>
      </x:c>
    </x:row>
    <x:row r="16">
      <x:c r="A16" s="20" t="str">
        <x:v>AST-014</x:v>
      </x:c>
      <x:c r="B16" s="20" t="str">
        <x:v>VPN Gateway</x:v>
      </x:c>
      <x:c r="C16" s="20" t="str">
        <x:v>Network Device</x:v>
      </x:c>
      <x:c r="D16" s="20" t="str">
        <x:v>IT</x:v>
      </x:c>
      <x:c r="E16" s="20" t="str">
        <x:v>Critical</x:v>
      </x:c>
      <x:c r="F16" s="20" t="str">
        <x:v>Yes</x:v>
      </x:c>
      <x:c r="G16" s="20" t="str">
        <x:v>Network Administrator</x:v>
      </x:c>
    </x:row>
    <x:row r="17">
      <x:c r="A17" s="20" t="str">
        <x:v>AST-015</x:v>
      </x:c>
      <x:c r="B17" s="20" t="str">
        <x:v>Wireless Access Points</x:v>
      </x:c>
      <x:c r="C17" s="20" t="str">
        <x:v>Network Device</x:v>
      </x:c>
      <x:c r="D17" s="20" t="str">
        <x:v>IT</x:v>
      </x:c>
      <x:c r="E17" s="20" t="str">
        <x:v>Medium</x:v>
      </x:c>
      <x:c r="F17" s="20" t="str">
        <x:v>No</x:v>
      </x:c>
      <x:c r="G17" s="20" t="str">
        <x:v>Network Administrator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448dc61806f84d8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6" hidden="0" customWidth="1"/>
    <x:col min="3" max="3" width="12" hidden="0" customWidth="1"/>
    <x:col min="4" max="4" width="10" hidden="0" customWidth="1"/>
    <x:col min="5" max="5" width="12" hidden="0" customWidth="1"/>
    <x:col min="6" max="6" width="14" hidden="0" customWidth="1"/>
    <x:col min="7" max="7" width="16" hidden="0" customWidth="1"/>
    <x:col min="8" max="8" width="18" hidden="0" customWidth="1"/>
  </x:cols>
  <x:sheetData>
    <x:row r="1">
      <x:c r="A1" s="5" t="str">
        <x:v>Risk Register</x:v>
      </x:c>
    </x:row>
    <x:row r="2">
      <x:c r="A2" s="14" t="str">
        <x:v>risk_id</x:v>
      </x:c>
      <x:c r="B2" s="14" t="str">
        <x:v>risk_description</x:v>
      </x:c>
      <x:c r="C2" s="14" t="str">
        <x:v>likelihood</x:v>
      </x:c>
      <x:c r="D2" s="14" t="str">
        <x:v>impact</x:v>
      </x:c>
      <x:c r="E2" s="14" t="str">
        <x:v>risk_score</x:v>
      </x:c>
      <x:c r="F2" s="14" t="str">
        <x:v>risk_level</x:v>
      </x:c>
      <x:c r="G2" s="14" t="str">
        <x:v>status</x:v>
      </x:c>
      <x:c r="H2" s="14" t="str">
        <x:v>department</x:v>
      </x:c>
    </x:row>
    <x:row r="3">
      <x:c r="A3" s="20" t="str">
        <x:v>R-001</x:v>
      </x:c>
      <x:c r="B3" s="20" t="str">
        <x:v>Phishing attack against Finance users</x:v>
      </x:c>
      <x:c r="C3" s="20" t="n">
        <x:v>4</x:v>
      </x:c>
      <x:c r="D3" s="20" t="n">
        <x:v>5</x:v>
      </x:c>
      <x:c r="E3" s="20" t="n">
        <x:f>C3*D3</x:f>
        <x:v>20</x:v>
      </x:c>
      <x:c r="F3" s="20" t="str">
        <x:f>IF(E3&lt;=5,"Low",IF(E3&lt;=10,"Medium",IF(E3&lt;=15,"High","Critical")))</x:f>
        <x:v>Critical</x:v>
      </x:c>
      <x:c r="G3" s="20" t="str">
        <x:v>Open</x:v>
      </x:c>
      <x:c r="H3" s="20" t="str">
        <x:v>Finance</x:v>
      </x:c>
    </x:row>
    <x:row r="4">
      <x:c r="A4" s="20" t="str">
        <x:v>R-002</x:v>
      </x:c>
      <x:c r="B4" s="20" t="str">
        <x:v>Unpatched internet-facing web server is exploited</x:v>
      </x:c>
      <x:c r="C4" s="20" t="n">
        <x:v>4</x:v>
      </x:c>
      <x:c r="D4" s="20" t="n">
        <x:v>5</x:v>
      </x:c>
      <x:c r="E4" s="20" t="n">
        <x:f>C4*D4</x:f>
        <x:v>20</x:v>
      </x:c>
      <x:c r="F4" s="20" t="str">
        <x:f>IF(E4&lt;=5,"Low",IF(E4&lt;=10,"Medium",IF(E4&lt;=15,"High","Critical")))</x:f>
        <x:v>Critical</x:v>
      </x:c>
      <x:c r="G4" s="20" t="str">
        <x:v>Open</x:v>
      </x:c>
      <x:c r="H4" s="20" t="str">
        <x:v>IT</x:v>
      </x:c>
    </x:row>
    <x:row r="5">
      <x:c r="A5" s="20" t="str">
        <x:v>R-003</x:v>
      </x:c>
      <x:c r="B5" s="20" t="str">
        <x:v>Microsoft 365 account takeover through repeated failed logins</x:v>
      </x:c>
      <x:c r="C5" s="20" t="n">
        <x:v>4</x:v>
      </x:c>
      <x:c r="D5" s="20" t="n">
        <x:v>4</x:v>
      </x:c>
      <x:c r="E5" s="20" t="n">
        <x:f>C5*D5</x:f>
        <x:v>16</x:v>
      </x:c>
      <x:c r="F5" s="20" t="str">
        <x:f>IF(E5&lt;=5,"Low",IF(E5&lt;=10,"Medium",IF(E5&lt;=15,"High","Critical")))</x:f>
        <x:v>Critical</x:v>
      </x:c>
      <x:c r="G5" s="20" t="str">
        <x:v>In Progress</x:v>
      </x:c>
      <x:c r="H5" s="20" t="str">
        <x:v>IT</x:v>
      </x:c>
    </x:row>
    <x:row r="6">
      <x:c r="A6" s="20" t="str">
        <x:v>R-004</x:v>
      </x:c>
      <x:c r="B6" s="20" t="str">
        <x:v>Malware infection spreads from employee laptops</x:v>
      </x:c>
      <x:c r="C6" s="20" t="n">
        <x:v>3</x:v>
      </x:c>
      <x:c r="D6" s="20" t="n">
        <x:v>5</x:v>
      </x:c>
      <x:c r="E6" s="20" t="n">
        <x:f>C6*D6</x:f>
        <x:v>15</x:v>
      </x:c>
      <x:c r="F6" s="20" t="str">
        <x:f>IF(E6&lt;=5,"Low",IF(E6&lt;=10,"Medium",IF(E6&lt;=15,"High","Critical")))</x:f>
        <x:v>High</x:v>
      </x:c>
      <x:c r="G6" s="20" t="str">
        <x:v>In Progress</x:v>
      </x:c>
      <x:c r="H6" s="20" t="str">
        <x:v>IT</x:v>
      </x:c>
    </x:row>
    <x:row r="7">
      <x:c r="A7" s="20" t="str">
        <x:v>R-005</x:v>
      </x:c>
      <x:c r="B7" s="20" t="str">
        <x:v>Customer data is exposed through excessive CRM privileges</x:v>
      </x:c>
      <x:c r="C7" s="20" t="n">
        <x:v>3</x:v>
      </x:c>
      <x:c r="D7" s="20" t="n">
        <x:v>5</x:v>
      </x:c>
      <x:c r="E7" s="20" t="n">
        <x:f>C7*D7</x:f>
        <x:v>15</x:v>
      </x:c>
      <x:c r="F7" s="20" t="str">
        <x:f>IF(E7&lt;=5,"Low",IF(E7&lt;=10,"Medium",IF(E7&lt;=15,"High","Critical")))</x:f>
        <x:v>High</x:v>
      </x:c>
      <x:c r="G7" s="20" t="str">
        <x:v>Open</x:v>
      </x:c>
      <x:c r="H7" s="20" t="str">
        <x:v>Sales</x:v>
      </x:c>
    </x:row>
    <x:row r="8">
      <x:c r="A8" s="20" t="str">
        <x:v>R-006</x:v>
      </x:c>
      <x:c r="B8" s="20" t="str">
        <x:v>Sensitive HR records are accessed without authorization</x:v>
      </x:c>
      <x:c r="C8" s="20" t="n">
        <x:v>3</x:v>
      </x:c>
      <x:c r="D8" s="20" t="n">
        <x:v>4</x:v>
      </x:c>
      <x:c r="E8" s="20" t="n">
        <x:f>C8*D8</x:f>
        <x:v>12</x:v>
      </x:c>
      <x:c r="F8" s="20" t="str">
        <x:f>IF(E8&lt;=5,"Low",IF(E8&lt;=10,"Medium",IF(E8&lt;=15,"High","Critical")))</x:f>
        <x:v>High</x:v>
      </x:c>
      <x:c r="G8" s="20" t="str">
        <x:v>Open</x:v>
      </x:c>
      <x:c r="H8" s="20" t="str">
        <x:v>HR</x:v>
      </x:c>
    </x:row>
    <x:row r="9">
      <x:c r="A9" s="20" t="str">
        <x:v>R-007</x:v>
      </x:c>
      <x:c r="B9" s="20" t="str">
        <x:v>Inventory operations are disrupted by outdated workstations</x:v>
      </x:c>
      <x:c r="C9" s="20" t="n">
        <x:v>3</x:v>
      </x:c>
      <x:c r="D9" s="20" t="n">
        <x:v>3</x:v>
      </x:c>
      <x:c r="E9" s="20" t="n">
        <x:f>C9*D9</x:f>
        <x:v>9</x:v>
      </x:c>
      <x:c r="F9" s="20" t="str">
        <x:f>IF(E9&lt;=5,"Low",IF(E9&lt;=10,"Medium",IF(E9&lt;=15,"High","Critical")))</x:f>
        <x:v>Medium</x:v>
      </x:c>
      <x:c r="G9" s="20" t="str">
        <x:v>Accepted</x:v>
      </x:c>
      <x:c r="H9" s="20" t="str">
        <x:v>Warehouse</x:v>
      </x:c>
    </x:row>
    <x:row r="10">
      <x:c r="A10" s="20" t="str">
        <x:v>R-008</x:v>
      </x:c>
      <x:c r="B10" s="20" t="str">
        <x:v>Online services are disrupted by web attacks</x:v>
      </x:c>
      <x:c r="C10" s="20" t="n">
        <x:v>4</x:v>
      </x:c>
      <x:c r="D10" s="20" t="n">
        <x:v>4</x:v>
      </x:c>
      <x:c r="E10" s="20" t="n">
        <x:f>C10*D10</x:f>
        <x:v>16</x:v>
      </x:c>
      <x:c r="F10" s="20" t="str">
        <x:f>IF(E10&lt;=5,"Low",IF(E10&lt;=10,"Medium",IF(E10&lt;=15,"High","Critical")))</x:f>
        <x:v>Critical</x:v>
      </x:c>
      <x:c r="G10" s="20" t="str">
        <x:v>Open</x:v>
      </x:c>
      <x:c r="H10" s="20" t="str">
        <x:v>IT</x:v>
      </x:c>
    </x:row>
    <x:row r="11">
      <x:c r="A11" s="20" t="str">
        <x:v>R-009</x:v>
      </x:c>
      <x:c r="B11" s="20" t="str">
        <x:v>Customer support data is lost due to insufficient backups</x:v>
      </x:c>
      <x:c r="C11" s="20" t="n">
        <x:v>2</x:v>
      </x:c>
      <x:c r="D11" s="20" t="n">
        <x:v>5</x:v>
      </x:c>
      <x:c r="E11" s="20" t="n">
        <x:f>C11*D11</x:f>
        <x:v>10</x:v>
      </x:c>
      <x:c r="F11" s="20" t="str">
        <x:f>IF(E11&lt;=5,"Low",IF(E11&lt;=10,"Medium",IF(E11&lt;=15,"High","Critical")))</x:f>
        <x:v>Medium</x:v>
      </x:c>
      <x:c r="G11" s="20" t="str">
        <x:v>In Progress</x:v>
      </x:c>
      <x:c r="H11" s="20" t="str">
        <x:v>Customer Support</x:v>
      </x:c>
    </x:row>
    <x:row r="12">
      <x:c r="A12" s="20" t="str">
        <x:v>R-010</x:v>
      </x:c>
      <x:c r="B12" s="20" t="str">
        <x:v>VPN gateway compromise enables unauthorized remote access</x:v>
      </x:c>
      <x:c r="C12" s="20" t="n">
        <x:v>3</x:v>
      </x:c>
      <x:c r="D12" s="20" t="n">
        <x:v>5</x:v>
      </x:c>
      <x:c r="E12" s="20" t="n">
        <x:f>C12*D12</x:f>
        <x:v>15</x:v>
      </x:c>
      <x:c r="F12" s="20" t="str">
        <x:f>IF(E12&lt;=5,"Low",IF(E12&lt;=10,"Medium",IF(E12&lt;=15,"High","Critical")))</x:f>
        <x:v>High</x:v>
      </x:c>
      <x:c r="G12" s="20" t="str">
        <x:v>Open</x:v>
      </x:c>
      <x:c r="H12" s="20" t="str">
        <x:v>IT</x:v>
      </x:c>
    </x:row>
    <x:row r="13">
      <x:c r="A13" s="20" t="str">
        <x:v>R-011</x:v>
      </x:c>
      <x:c r="B13" s="20" t="str">
        <x:v>Weak wireless device credentials allow internal network access</x:v>
      </x:c>
      <x:c r="C13" s="20" t="n">
        <x:v>3</x:v>
      </x:c>
      <x:c r="D13" s="20" t="n">
        <x:v>3</x:v>
      </x:c>
      <x:c r="E13" s="20" t="n">
        <x:f>C13*D13</x:f>
        <x:v>9</x:v>
      </x:c>
      <x:c r="F13" s="20" t="str">
        <x:f>IF(E13&lt;=5,"Low",IF(E13&lt;=10,"Medium",IF(E13&lt;=15,"High","Critical")))</x:f>
        <x:v>Medium</x:v>
      </x:c>
      <x:c r="G13" s="20" t="str">
        <x:v>Open</x:v>
      </x:c>
      <x:c r="H13" s="20" t="str">
        <x:v>IT</x:v>
      </x:c>
    </x:row>
    <x:row r="14">
      <x:c r="A14" s="20" t="str">
        <x:v>R-012</x:v>
      </x:c>
      <x:c r="B14" s="20" t="str">
        <x:v>Delayed incident response increases business disruption</x:v>
      </x:c>
      <x:c r="C14" s="20" t="n">
        <x:v>4</x:v>
      </x:c>
      <x:c r="D14" s="20" t="n">
        <x:v>3</x:v>
      </x:c>
      <x:c r="E14" s="20" t="n">
        <x:f>C14*D14</x:f>
        <x:v>12</x:v>
      </x:c>
      <x:c r="F14" s="20" t="str">
        <x:f>IF(E14&lt;=5,"Low",IF(E14&lt;=10,"Medium",IF(E14&lt;=15,"High","Critical")))</x:f>
        <x:v>High</x:v>
      </x:c>
      <x:c r="G14" s="20" t="str">
        <x:v>In Progress</x:v>
      </x:c>
      <x:c r="H14" s="20" t="str">
        <x:v>IT</x:v>
      </x:c>
    </x:row>
  </x:sheetData>
  <x:mergeCells>
    <x:mergeCell ref="A1:H1"/>
  </x:mergeCells>
  <x:conditionalFormatting sqref="E3:E14">
    <x:cfRule type="colorScale" priority="1">
      <x:colorScale>
        <x:cfvo type="min"/>
        <x:cfvo type="percentile" val="50"/>
        <x:cfvo type="max"/>
        <x:color rgb="D9EAD3"/>
        <x:color rgb="FFF2CC"/>
        <x:color rgb="F4CCCC"/>
      </x:colorScale>
    </x:cfRule>
  </x:conditionalFormatting>
  <x:dataValidations count="2">
    <x:dataValidation type="list" sqref="C3:D14">
      <x:formula1>"1,2,3,4,5"</x:formula1>
    </x:dataValidation>
    <x:dataValidation type="list" sqref="G3:G14">
      <x:formula1>"Open,In Progress,Accepted,Mitigated"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5c7088accab425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6" hidden="0" customWidth="1"/>
    <x:col min="4" max="4" width="38" hidden="0" customWidth="1"/>
    <x:col min="5" max="5" width="48" hidden="0" customWidth="1"/>
    <x:col min="6" max="6" width="12" hidden="0" customWidth="1"/>
  </x:cols>
  <x:sheetData>
    <x:row r="1">
      <x:c r="A1" s="5" t="str">
        <x:v>Control Mapping</x:v>
      </x:c>
    </x:row>
    <x:row r="2">
      <x:c r="A2" s="14" t="str">
        <x:v>mapping_id</x:v>
      </x:c>
      <x:c r="B2" s="14" t="str">
        <x:v>risk_id</x:v>
      </x:c>
      <x:c r="C2" s="14" t="str">
        <x:v>iso_control</x:v>
      </x:c>
      <x:c r="D2" s="14" t="str">
        <x:v>control_purpose</x:v>
      </x:c>
      <x:c r="E2" s="14" t="str">
        <x:v>recommendation</x:v>
      </x:c>
      <x:c r="F2" s="14" t="str">
        <x:v>priority</x:v>
      </x:c>
    </x:row>
    <x:row r="3">
      <x:c r="A3" s="20" t="str">
        <x:v>M-001</x:v>
      </x:c>
      <x:c r="B3" s="20" t="str">
        <x:v>R-001</x:v>
      </x:c>
      <x:c r="C3" s="20" t="str">
        <x:v>A.6.3 Awareness, education and training</x:v>
      </x:c>
      <x:c r="D3" s="20" t="str">
        <x:v>Reduce phishing success through staff awareness</x:v>
      </x:c>
      <x:c r="E3" s="20" t="str">
        <x:v>Run monthly phishing simulations and targeted Finance training</x:v>
      </x:c>
      <x:c r="F3" s="20" t="str">
        <x:v>High</x:v>
      </x:c>
    </x:row>
    <x:row r="4">
      <x:c r="A4" s="20" t="str">
        <x:v>M-002</x:v>
      </x:c>
      <x:c r="B4" s="20" t="str">
        <x:v>R-002</x:v>
      </x:c>
      <x:c r="C4" s="20" t="str">
        <x:v>A.8.8 Management of technical vulnerabilities</x:v>
      </x:c>
      <x:c r="D4" s="20" t="str">
        <x:v>Reduce exposure from known vulnerabilities</x:v>
      </x:c>
      <x:c r="E4" s="20" t="str">
        <x:v>Patch internet-facing systems within seven days</x:v>
      </x:c>
      <x:c r="F4" s="20" t="str">
        <x:v>Critical</x:v>
      </x:c>
    </x:row>
    <x:row r="5">
      <x:c r="A5" s="20" t="str">
        <x:v>M-003</x:v>
      </x:c>
      <x:c r="B5" s="20" t="str">
        <x:v>R-003</x:v>
      </x:c>
      <x:c r="C5" s="20" t="str">
        <x:v>A.8.5 Secure authentication</x:v>
      </x:c>
      <x:c r="D5" s="20" t="str">
        <x:v>Prevent account takeover</x:v>
      </x:c>
      <x:c r="E5" s="20" t="str">
        <x:v>Enforce MFA, account lockout, and login monitoring</x:v>
      </x:c>
      <x:c r="F5" s="20" t="str">
        <x:v>Critical</x:v>
      </x:c>
    </x:row>
    <x:row r="6">
      <x:c r="A6" s="20" t="str">
        <x:v>M-004</x:v>
      </x:c>
      <x:c r="B6" s="20" t="str">
        <x:v>R-004</x:v>
      </x:c>
      <x:c r="C6" s="20" t="str">
        <x:v>A.8.7 Protection against malware</x:v>
      </x:c>
      <x:c r="D6" s="20" t="str">
        <x:v>Prevent and contain malware infections</x:v>
      </x:c>
      <x:c r="E6" s="20" t="str">
        <x:v>Maintain endpoint protection and isolate infected devices</x:v>
      </x:c>
      <x:c r="F6" s="20" t="str">
        <x:v>High</x:v>
      </x:c>
    </x:row>
    <x:row r="7">
      <x:c r="A7" s="20" t="str">
        <x:v>M-005</x:v>
      </x:c>
      <x:c r="B7" s="20" t="str">
        <x:v>R-005</x:v>
      </x:c>
      <x:c r="C7" s="20" t="str">
        <x:v>A.5.18 Access rights</x:v>
      </x:c>
      <x:c r="D7" s="20" t="str">
        <x:v>Limit access to customer data</x:v>
      </x:c>
      <x:c r="E7" s="20" t="str">
        <x:v>Review CRM privileges quarterly and remove excessive access</x:v>
      </x:c>
      <x:c r="F7" s="20" t="str">
        <x:v>High</x:v>
      </x:c>
    </x:row>
    <x:row r="8">
      <x:c r="A8" s="20" t="str">
        <x:v>M-006</x:v>
      </x:c>
      <x:c r="B8" s="20" t="str">
        <x:v>R-006</x:v>
      </x:c>
      <x:c r="C8" s="20" t="str">
        <x:v>A.5.15 Access control</x:v>
      </x:c>
      <x:c r="D8" s="20" t="str">
        <x:v>Restrict access to sensitive HR information</x:v>
      </x:c>
      <x:c r="E8" s="20" t="str">
        <x:v>Apply role-based access and review HR portal permissions</x:v>
      </x:c>
      <x:c r="F8" s="20" t="str">
        <x:v>High</x:v>
      </x:c>
    </x:row>
    <x:row r="9">
      <x:c r="A9" s="20" t="str">
        <x:v>M-007</x:v>
      </x:c>
      <x:c r="B9" s="20" t="str">
        <x:v>R-007</x:v>
      </x:c>
      <x:c r="C9" s="20" t="str">
        <x:v>A.8.8 Management of technical vulnerabilities</x:v>
      </x:c>
      <x:c r="D9" s="20" t="str">
        <x:v>Reduce operational disruption from outdated systems</x:v>
      </x:c>
      <x:c r="E9" s="20" t="str">
        <x:v>Create a workstation patch schedule and replacement plan</x:v>
      </x:c>
      <x:c r="F9" s="20" t="str">
        <x:v>Medium</x:v>
      </x:c>
    </x:row>
    <x:row r="10">
      <x:c r="A10" s="20" t="str">
        <x:v>M-008</x:v>
      </x:c>
      <x:c r="B10" s="20" t="str">
        <x:v>R-008</x:v>
      </x:c>
      <x:c r="C10" s="20" t="str">
        <x:v>A.8.20 Network security</x:v>
      </x:c>
      <x:c r="D10" s="20" t="str">
        <x:v>Protect online services from network-based attacks</x:v>
      </x:c>
      <x:c r="E10" s="20" t="str">
        <x:v>Deploy web application firewall rules and monitor attack traffic</x:v>
      </x:c>
      <x:c r="F10" s="20" t="str">
        <x:v>Critical</x:v>
      </x:c>
    </x:row>
    <x:row r="11">
      <x:c r="A11" s="20" t="str">
        <x:v>M-009</x:v>
      </x:c>
      <x:c r="B11" s="20" t="str">
        <x:v>R-009</x:v>
      </x:c>
      <x:c r="C11" s="20" t="str">
        <x:v>A.8.13 Information backup</x:v>
      </x:c>
      <x:c r="D11" s="20" t="str">
        <x:v>Support recovery from data loss</x:v>
      </x:c>
      <x:c r="E11" s="20" t="str">
        <x:v>Test backups quarterly and define recovery targets</x:v>
      </x:c>
      <x:c r="F11" s="20" t="str">
        <x:v>High</x:v>
      </x:c>
    </x:row>
    <x:row r="12">
      <x:c r="A12" s="20" t="str">
        <x:v>M-010</x:v>
      </x:c>
      <x:c r="B12" s="20" t="str">
        <x:v>R-010</x:v>
      </x:c>
      <x:c r="C12" s="20" t="str">
        <x:v>A.8.5 Secure authentication</x:v>
      </x:c>
      <x:c r="D12" s="20" t="str">
        <x:v>Protect remote access</x:v>
      </x:c>
      <x:c r="E12" s="20" t="str">
        <x:v>Enforce MFA and restrict VPN administrative access</x:v>
      </x:c>
      <x:c r="F12" s="20" t="str">
        <x:v>Critical</x:v>
      </x:c>
    </x:row>
    <x:row r="13">
      <x:c r="A13" s="20" t="str">
        <x:v>M-011</x:v>
      </x:c>
      <x:c r="B13" s="20" t="str">
        <x:v>R-011</x:v>
      </x:c>
      <x:c r="C13" s="20" t="str">
        <x:v>A.8.21 Security of network services</x:v>
      </x:c>
      <x:c r="D13" s="20" t="str">
        <x:v>Protect internal network access</x:v>
      </x:c>
      <x:c r="E13" s="20" t="str">
        <x:v>Replace default credentials and segment wireless networks</x:v>
      </x:c>
      <x:c r="F13" s="20" t="str">
        <x:v>Medium</x:v>
      </x:c>
    </x:row>
    <x:row r="14">
      <x:c r="A14" s="20" t="str">
        <x:v>M-012</x:v>
      </x:c>
      <x:c r="B14" s="20" t="str">
        <x:v>R-012</x:v>
      </x:c>
      <x:c r="C14" s="20" t="str">
        <x:v>A.5.24 Incident management planning and preparation</x:v>
      </x:c>
      <x:c r="D14" s="20" t="str">
        <x:v>Improve incident response performance</x:v>
      </x:c>
      <x:c r="E14" s="20" t="str">
        <x:v>Define response SLAs and conduct incident exercises</x:v>
      </x:c>
      <x:c r="F14" s="20" t="str">
        <x:v>High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6d22f9eedb5e43c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5" hidden="0" customWidth="1"/>
  </x:cols>
  <x:sheetData>
    <x:row r="1">
      <x:c r="A1" s="32" t="str">
        <x:v>Day 2 — Cybersecurity Risk Analytics Dataset Workbook</x:v>
      </x:c>
      <x:c r="B1" s="20"/>
    </x:row>
    <x:row r="3">
      <x:c r="A3" s="14" t="str">
        <x:v>Section</x:v>
      </x:c>
      <x:c r="B3" s="14" t="str">
        <x:v>Details</x:v>
      </x:c>
    </x:row>
    <x:row r="4">
      <x:c r="A4" s="28" t="str">
        <x:v>Purpose</x:v>
      </x:c>
      <x:c r="B4" t="str">
        <x:v>Use this workbook as the source data for the Power BI dashboard. Each data sheet is structured as an Excel table.</x:v>
      </x:c>
    </x:row>
    <x:row r="5">
      <x:c r="A5" s="28" t="str">
        <x:v>Incidents</x:v>
      </x:c>
      <x:c r="B5" t="str">
        <x:v>Contains 80 simulated security incidents from January to May 2026.</x:v>
      </x:c>
    </x:row>
    <x:row r="6">
      <x:c r="A6" s="28" t="str">
        <x:v>Vulnerabilities</x:v>
      </x:c>
      <x:c r="B6" t="str">
        <x:v>Contains 45 vulnerability findings linked to assets by asset_id.</x:v>
      </x:c>
    </x:row>
    <x:row r="7">
      <x:c r="A7" s="28" t="str">
        <x:v>Assets</x:v>
      </x:c>
      <x:c r="B7" t="str">
        <x:v>Contains 15 business and technology assets.</x:v>
      </x:c>
    </x:row>
    <x:row r="8">
      <x:c r="A8" s="28" t="str">
        <x:v>Risk Register</x:v>
      </x:c>
      <x:c r="B8" t="str">
        <x:v>Contains 12 business risks. risk_score and risk_level are calculated with formulas.</x:v>
      </x:c>
    </x:row>
    <x:row r="9">
      <x:c r="A9" s="28" t="str">
        <x:v>Control Mapping</x:v>
      </x:c>
      <x:c r="B9" t="str">
        <x:v>Maps each risk to a relevant ISO/IEC 27001:2022 Annex A control and recommendation.</x:v>
      </x:c>
    </x:row>
    <x:row r="10">
      <x:c r="A10" s="28" t="str">
        <x:v>Rule 1</x:v>
      </x:c>
      <x:c r="B10" t="str">
        <x:v>Do not change ID formats. IDs are used to link tables.</x:v>
      </x:c>
    </x:row>
    <x:row r="11">
      <x:c r="A11" s="28" t="str">
        <x:v>Rule 2</x:v>
      </x:c>
      <x:c r="B11" t="str">
        <x:v>Keep category spelling consistent, especially severity, status, department, and patch_status.</x:v>
      </x:c>
    </x:row>
    <x:row r="12">
      <x:c r="A12" s="28" t="str">
        <x:v>Rule 3</x:v>
      </x:c>
      <x:c r="B12" t="str">
        <x:v>Blank resolution_time_hours is allowed only for open incidents.</x:v>
      </x:c>
    </x:row>
    <x:row r="13">
      <x:c r="A13" s="28" t="str">
        <x:v>Rule 4</x:v>
      </x:c>
      <x:c r="B13" t="str">
        <x:v>CVSS severity should remain consistent: 9.0–10.0 Critical, 7.0–8.9 High, 4.0–6.9 Medium, below 4.0 Low.</x:v>
      </x:c>
    </x:row>
    <x:row r="14">
      <x:c r="A14" s="28" t="str">
        <x:v>Next step</x:v>
      </x:c>
      <x:c r="B14" t="str">
        <x:v>Import the five data tables into Power BI and create relationships using asset_id and risk_id.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6" hidden="0" customWidth="1"/>
    <x:col min="4" max="4" width="16" hidden="0" customWidth="1"/>
    <x:col min="5" max="5" width="16" hidden="0" customWidth="1"/>
    <x:col min="6" max="6" width="42" hidden="0" customWidth="1"/>
    <x:col min="8" max="8" width="20" hidden="0" customWidth="1"/>
    <x:col min="9" max="9" width="18" hidden="0" customWidth="1"/>
    <x:col min="10" max="10" width="32" hidden="0" customWidth="1"/>
  </x:cols>
  <x:sheetData>
    <x:row r="1">
      <x:c r="A1" s="46" t="str">
        <x:v>Day 3 — Data Quality Audit</x:v>
      </x:c>
      <x:c r="B1" s="20"/>
      <x:c r="C1" s="20"/>
      <x:c r="D1" s="20"/>
      <x:c r="E1" s="20"/>
      <x:c r="F1" s="20"/>
    </x:row>
    <x:row r="3">
      <x:c r="A3" s="40" t="str">
        <x:v>This sheet checks the dataset before Power BI import. A result of 0 means no issue was detected unless the check states otherwise.</x:v>
      </x:c>
    </x:row>
    <x:row r="5">
      <x:c r="A5" s="45" t="str">
        <x:v>Dataset</x:v>
      </x:c>
      <x:c r="B5" s="45" t="str">
        <x:v>Quality Check</x:v>
      </x:c>
      <x:c r="C5" s="45" t="str">
        <x:v>Expected Result</x:v>
      </x:c>
      <x:c r="D5" s="45" t="str">
        <x:v>Actual Result</x:v>
      </x:c>
      <x:c r="E5" s="45" t="str">
        <x:v>Status</x:v>
      </x:c>
      <x:c r="F5" s="45" t="str">
        <x:v>Action if Failed</x:v>
      </x:c>
      <x:c r="H5" s="45" t="str">
        <x:v>Audit Summary</x:v>
      </x:c>
      <x:c r="I5" s="45" t="str">
        <x:v>Value</x:v>
      </x:c>
      <x:c r="J5" s="45" t="str">
        <x:v>Meaning</x:v>
      </x:c>
    </x:row>
    <x:row r="6">
      <x:c r="A6" t="str">
        <x:v>Incidents</x:v>
      </x:c>
      <x:c r="B6" t="str">
        <x:v>Duplicate incident_id values</x:v>
      </x:c>
      <x:c r="C6" t="n">
        <x:v>0</x:v>
      </x:c>
      <x:c r="D6" t="n">
        <x:v>0</x:v>
      </x:c>
      <x:c r="E6" t="str">
        <x:f>IF(D6=C6,"PASS","FAIL")</x:f>
        <x:v>PASS</x:v>
      </x:c>
      <x:c r="F6" t="str">
        <x:v>Remove or correct duplicate incident IDs.</x:v>
      </x:c>
      <x:c r="H6" t="str">
        <x:v>Total Checks</x:v>
      </x:c>
      <x:c r="I6" t="n">
        <x:f>COUNTA(A6:A23)</x:f>
        <x:v>18</x:v>
      </x:c>
      <x:c r="J6" t="str">
        <x:v>Number of validation checks performed</x:v>
      </x:c>
    </x:row>
    <x:row r="7">
      <x:c r="A7" t="str">
        <x:v>Incidents</x:v>
      </x:c>
      <x:c r="B7" t="str">
        <x:v>Blank incident_id values</x:v>
      </x:c>
      <x:c r="C7" t="n">
        <x:v>0</x:v>
      </x:c>
      <x:c r="D7" t="n">
        <x:v>0</x:v>
      </x:c>
      <x:c r="E7" t="str">
        <x:f>IF(D7=C7,"PASS","FAIL")</x:f>
        <x:v>PASS</x:v>
      </x:c>
      <x:c r="F7" t="str">
        <x:v>Populate every incident ID.</x:v>
      </x:c>
      <x:c r="H7" t="str">
        <x:v>Passed Checks</x:v>
      </x:c>
      <x:c r="I7" t="n">
        <x:f>COUNTIF(E6:E23,"PASS")</x:f>
        <x:v>18</x:v>
      </x:c>
      <x:c r="J7" t="str">
        <x:v>Checks with no detected issue</x:v>
      </x:c>
    </x:row>
    <x:row r="8">
      <x:c r="A8" t="str">
        <x:v>Incidents</x:v>
      </x:c>
      <x:c r="B8" t="str">
        <x:v>Open incidents with a resolution time</x:v>
      </x:c>
      <x:c r="C8" t="n">
        <x:v>0</x:v>
      </x:c>
      <x:c r="D8" t="n">
        <x:v>0</x:v>
      </x:c>
      <x:c r="E8" t="str">
        <x:f>IF(D8=C8,"PASS","FAIL")</x:f>
        <x:v>PASS</x:v>
      </x:c>
      <x:c r="F8" t="str">
        <x:v>Clear resolution time for incidents that are still open.</x:v>
      </x:c>
      <x:c r="H8" t="str">
        <x:v>Failed Checks</x:v>
      </x:c>
      <x:c r="I8" t="n">
        <x:f>COUNTIF(E6:E23,"FAIL")</x:f>
        <x:v>0</x:v>
      </x:c>
      <x:c r="J8" t="str">
        <x:v>Checks that require correction</x:v>
      </x:c>
    </x:row>
    <x:row r="9">
      <x:c r="A9" t="str">
        <x:v>Incidents</x:v>
      </x:c>
      <x:c r="B9" t="str">
        <x:v>Closed or in-progress incidents with blank resolution time</x:v>
      </x:c>
      <x:c r="C9" t="n">
        <x:v>0</x:v>
      </x:c>
      <x:c r="D9" t="n">
        <x:v>0</x:v>
      </x:c>
      <x:c r="E9" t="str">
        <x:f>IF(D9=C9,"PASS","FAIL")</x:f>
        <x:v>PASS</x:v>
      </x:c>
      <x:c r="F9" t="str">
        <x:v>Populate resolution time for resolved or active incidents.</x:v>
      </x:c>
      <x:c r="H9" t="str">
        <x:v>Overall Status</x:v>
      </x:c>
      <x:c r="I9" t="str">
        <x:f>IF(I8=0,"READY FOR POWER BI","FIX DATA ISSUES")</x:f>
        <x:v>READY FOR POWER BI</x:v>
      </x:c>
      <x:c r="J9" t="str">
        <x:v>Import decision</x:v>
      </x:c>
    </x:row>
    <x:row r="10">
      <x:c r="A10" t="str">
        <x:v>Incidents</x:v>
      </x:c>
      <x:c r="B10" t="str">
        <x:v>Incident systems not found in Assets.asset_name</x:v>
      </x:c>
      <x:c r="C10" t="n">
        <x:v>0</x:v>
      </x:c>
      <x:c r="D10" t="n">
        <x:v>0</x:v>
      </x:c>
      <x:c r="E10" t="str">
        <x:f>IF(D10=C10,"PASS","FAIL")</x:f>
        <x:v>PASS</x:v>
      </x:c>
      <x:c r="F10" t="str">
        <x:v>Correct the system name or add the missing asset.</x:v>
      </x:c>
    </x:row>
    <x:row r="11">
      <x:c r="A11" t="str">
        <x:v>Incidents</x:v>
      </x:c>
      <x:c r="B11" t="str">
        <x:v>Dates outside 2026-01-01 to 2026-05-31</x:v>
      </x:c>
      <x:c r="C11" t="n">
        <x:v>0</x:v>
      </x:c>
      <x:c r="D11" t="n">
        <x:v>0</x:v>
      </x:c>
      <x:c r="E11" t="str">
        <x:f>IF(D11=C11,"PASS","FAIL")</x:f>
        <x:v>PASS</x:v>
      </x:c>
      <x:c r="F11" t="str">
        <x:v>Correct dates outside the project period.</x:v>
      </x:c>
    </x:row>
    <x:row r="12">
      <x:c r="A12" t="str">
        <x:v>Vulnerabilities</x:v>
      </x:c>
      <x:c r="B12" t="str">
        <x:v>Duplicate vuln_id values</x:v>
      </x:c>
      <x:c r="C12" t="n">
        <x:v>0</x:v>
      </x:c>
      <x:c r="D12" t="n">
        <x:v>0</x:v>
      </x:c>
      <x:c r="E12" t="str">
        <x:f>IF(D12=C12,"PASS","FAIL")</x:f>
        <x:v>PASS</x:v>
      </x:c>
      <x:c r="F12" t="str">
        <x:v>Remove or correct duplicate vulnerability IDs.</x:v>
      </x:c>
    </x:row>
    <x:row r="13">
      <x:c r="A13" t="str">
        <x:v>Vulnerabilities</x:v>
      </x:c>
      <x:c r="B13" t="str">
        <x:v>Blank asset_id values</x:v>
      </x:c>
      <x:c r="C13" t="n">
        <x:v>0</x:v>
      </x:c>
      <x:c r="D13" t="n">
        <x:v>0</x:v>
      </x:c>
      <x:c r="E13" t="str">
        <x:f>IF(D13=C13,"PASS","FAIL")</x:f>
        <x:v>PASS</x:v>
      </x:c>
      <x:c r="F13" t="str">
        <x:v>Populate the affected asset ID.</x:v>
      </x:c>
    </x:row>
    <x:row r="14">
      <x:c r="A14" t="str">
        <x:v>Vulnerabilities</x:v>
      </x:c>
      <x:c r="B14" t="str">
        <x:v>asset_id values not found in Assets</x:v>
      </x:c>
      <x:c r="C14" t="n">
        <x:v>0</x:v>
      </x:c>
      <x:c r="D14" t="n">
        <x:v>0</x:v>
      </x:c>
      <x:c r="E14" t="str">
        <x:f>IF(D14=C14,"PASS","FAIL")</x:f>
        <x:v>PASS</x:v>
      </x:c>
      <x:c r="F14" t="str">
        <x:v>Correct the asset ID or add the missing asset.</x:v>
      </x:c>
    </x:row>
    <x:row r="15">
      <x:c r="A15" t="str">
        <x:v>Vulnerabilities</x:v>
      </x:c>
      <x:c r="B15" t="str">
        <x:v>CVSS scores outside 0.0 to 10.0</x:v>
      </x:c>
      <x:c r="C15" t="n">
        <x:v>0</x:v>
      </x:c>
      <x:c r="D15" t="n">
        <x:v>0</x:v>
      </x:c>
      <x:c r="E15" t="str">
        <x:f>IF(D15=C15,"PASS","FAIL")</x:f>
        <x:v>PASS</x:v>
      </x:c>
      <x:c r="F15" t="str">
        <x:v>Correct invalid CVSS scores.</x:v>
      </x:c>
    </x:row>
    <x:row r="16">
      <x:c r="A16" t="str">
        <x:v>Vulnerabilities</x:v>
      </x:c>
      <x:c r="B16" t="str">
        <x:v>CVSS severity mismatches</x:v>
      </x:c>
      <x:c r="C16" t="n">
        <x:v>0</x:v>
      </x:c>
      <x:c r="D16" t="n">
        <x:v>0</x:v>
      </x:c>
      <x:c r="E16" t="str">
        <x:f>IF(D16=C16,"PASS","FAIL")</x:f>
        <x:v>PASS</x:v>
      </x:c>
      <x:c r="F16" t="str">
        <x:v>Align severity with the CVSS score.</x:v>
      </x:c>
    </x:row>
    <x:row r="17">
      <x:c r="A17" t="str">
        <x:v>Assets</x:v>
      </x:c>
      <x:c r="B17" t="str">
        <x:v>Duplicate asset_id values</x:v>
      </x:c>
      <x:c r="C17" t="n">
        <x:v>0</x:v>
      </x:c>
      <x:c r="D17" t="n">
        <x:v>0</x:v>
      </x:c>
      <x:c r="E17" t="str">
        <x:f>IF(D17=C17,"PASS","FAIL")</x:f>
        <x:v>PASS</x:v>
      </x:c>
      <x:c r="F17" t="str">
        <x:v>Remove or correct duplicate asset IDs.</x:v>
      </x:c>
    </x:row>
    <x:row r="18">
      <x:c r="A18" t="str">
        <x:v>Assets</x:v>
      </x:c>
      <x:c r="B18" t="str">
        <x:v>Duplicate asset_name values</x:v>
      </x:c>
      <x:c r="C18" t="n">
        <x:v>0</x:v>
      </x:c>
      <x:c r="D18" t="n">
        <x:v>0</x:v>
      </x:c>
      <x:c r="E18" t="str">
        <x:f>IF(D18=C18,"PASS","FAIL")</x:f>
        <x:v>PASS</x:v>
      </x:c>
      <x:c r="F18" t="str">
        <x:v>Keep asset names unique for incident-to-asset matching.</x:v>
      </x:c>
    </x:row>
    <x:row r="19">
      <x:c r="A19" t="str">
        <x:v>Risk Register</x:v>
      </x:c>
      <x:c r="B19" t="str">
        <x:v>Duplicate risk_id values</x:v>
      </x:c>
      <x:c r="C19" t="n">
        <x:v>0</x:v>
      </x:c>
      <x:c r="D19" t="n">
        <x:v>0</x:v>
      </x:c>
      <x:c r="E19" t="str">
        <x:f>IF(D19=C19,"PASS","FAIL")</x:f>
        <x:v>PASS</x:v>
      </x:c>
      <x:c r="F19" t="str">
        <x:v>Remove or correct duplicate risk IDs.</x:v>
      </x:c>
    </x:row>
    <x:row r="20">
      <x:c r="A20" t="str">
        <x:v>Risk Register</x:v>
      </x:c>
      <x:c r="B20" t="str">
        <x:v>Risk score formula mismatches</x:v>
      </x:c>
      <x:c r="C20" t="n">
        <x:v>0</x:v>
      </x:c>
      <x:c r="D20" t="n">
        <x:v>0</x:v>
      </x:c>
      <x:c r="E20" t="str">
        <x:f>IF(D20=C20,"PASS","FAIL")</x:f>
        <x:v>PASS</x:v>
      </x:c>
      <x:c r="F20" t="str">
        <x:v>Restore risk_score as likelihood multiplied by impact.</x:v>
      </x:c>
    </x:row>
    <x:row r="21">
      <x:c r="A21" t="str">
        <x:v>Risk Register</x:v>
      </x:c>
      <x:c r="B21" t="str">
        <x:v>Risk level classification mismatches</x:v>
      </x:c>
      <x:c r="C21" t="n">
        <x:v>0</x:v>
      </x:c>
      <x:c r="D21" t="n">
        <x:v>0</x:v>
      </x:c>
      <x:c r="E21" t="str">
        <x:f>IF(D21=C21,"PASS","FAIL")</x:f>
        <x:v>PASS</x:v>
      </x:c>
      <x:c r="F21" t="str">
        <x:v>Correct risk_level based on the score bands.</x:v>
      </x:c>
    </x:row>
    <x:row r="22">
      <x:c r="A22" t="str">
        <x:v>Control Mapping</x:v>
      </x:c>
      <x:c r="B22" t="str">
        <x:v>Duplicate mapping_id values</x:v>
      </x:c>
      <x:c r="C22" t="n">
        <x:v>0</x:v>
      </x:c>
      <x:c r="D22" t="n">
        <x:v>0</x:v>
      </x:c>
      <x:c r="E22" t="str">
        <x:f>IF(D22=C22,"PASS","FAIL")</x:f>
        <x:v>PASS</x:v>
      </x:c>
      <x:c r="F22" t="str">
        <x:v>Remove or correct duplicate mapping IDs.</x:v>
      </x:c>
    </x:row>
    <x:row r="23">
      <x:c r="A23" t="str">
        <x:v>Control Mapping</x:v>
      </x:c>
      <x:c r="B23" t="str">
        <x:v>risk_id values not found in Risk Register</x:v>
      </x:c>
      <x:c r="C23" t="n">
        <x:v>0</x:v>
      </x:c>
      <x:c r="D23" t="n">
        <x:v>0</x:v>
      </x:c>
      <x:c r="E23" t="str">
        <x:f>IF(D23=C23,"PASS","FAIL")</x:f>
        <x:v>PASS</x:v>
      </x:c>
      <x:c r="F23" t="str">
        <x:v>Correct the risk ID or add the missing risk.</x:v>
      </x:c>
    </x:row>
    <x:row r="26">
      <x:c r="A26" s="40" t="str">
        <x:v>Audit method: Results were verified against the exported CSV files. Re-run these checks after changing the source data.</x:v>
      </x:c>
    </x:row>
  </x:sheetData>
  <x:mergeCells>
    <x:mergeCell ref="A1:F1"/>
    <x:mergeCell ref="A3:F3"/>
    <x:mergeCell ref="A26:F26"/>
  </x:mergeCells>
  <x:conditionalFormatting sqref="E6:E23">
    <x:cfRule type="expression" dxfId="2" priority="1">
      <x:formula>E6="PASS"</x:formula>
    </x:cfRule>
    <x:cfRule type="expression" dxfId="3" priority="2">
      <x:formula>E6="FAIL"</x:formula>
    </x:cfRule>
  </x:conditionalFormatting>
  <x:conditionalFormatting sqref="D6:D23">
    <x:cfRule type="cellIs" dxfId="4" priority="3" operator="greaterThan">
      <x:formula>0</x:formula>
    </x:cfRule>
  </x:conditionalFormatting>
  <x:conditionalFormatting sqref="I9:I9">
    <x:cfRule type="expression" dxfId="5" priority="4">
      <x:formula>I9="READY FOR POWER BI"</x:formula>
    </x:cfRule>
    <x:cfRule type="expression" dxfId="6" priority="5">
      <x:formula>I9="FIX DATA ISSUES"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2" hidden="0" customWidth="1"/>
    <x:col min="4" max="4" width="24" hidden="0" customWidth="1"/>
    <x:col min="5" max="5" width="16" hidden="0" customWidth="1"/>
    <x:col min="6" max="6" width="36" hidden="0" customWidth="1"/>
    <x:col min="7" max="7" width="24" hidden="0" customWidth="1"/>
    <x:col min="8" max="8" width="30" hidden="0" customWidth="1"/>
  </x:cols>
  <x:sheetData>
    <x:row r="1">
      <x:c r="A1" s="46" t="str">
        <x:v>Day 3 — Power BI Preparation Guide</x:v>
      </x:c>
      <x:c r="B1" s="20"/>
      <x:c r="C1" s="20"/>
      <x:c r="D1" s="20"/>
      <x:c r="E1" s="20"/>
      <x:c r="F1" s="20"/>
      <x:c r="G1" s="20"/>
      <x:c r="H1" s="20"/>
    </x:row>
    <x:row r="3">
      <x:c r="A3" s="40" t="str">
        <x:v>Use this sheet when importing the workbook into Power BI. It defines the required data types, relationships, and cleaning steps.</x:v>
      </x:c>
    </x:row>
    <x:row r="5">
      <x:c r="A5" s="45" t="str">
        <x:v>Table</x:v>
      </x:c>
      <x:c r="B5" s="45" t="str">
        <x:v>Column</x:v>
      </x:c>
      <x:c r="C5" s="45" t="str">
        <x:v>Power BI Data Type</x:v>
      </x:c>
      <x:c r="D5" s="45" t="str">
        <x:v>Category / Role</x:v>
      </x:c>
      <x:c r="E5" s="45" t="str">
        <x:v>Allow Blank?</x:v>
      </x:c>
      <x:c r="F5" s="45" t="str">
        <x:v>Cleaning Rule</x:v>
      </x:c>
      <x:c r="G5" s="45" t="str">
        <x:v>Example</x:v>
      </x:c>
      <x:c r="H5" s="45" t="str">
        <x:v>Notes</x:v>
      </x:c>
    </x:row>
    <x:row r="6">
      <x:c r="A6" s="20" t="str">
        <x:v>Incidents</x:v>
      </x:c>
      <x:c r="B6" s="20" t="str">
        <x:v>incident_id</x:v>
      </x:c>
      <x:c r="C6" s="20" t="str">
        <x:v>Text</x:v>
      </x:c>
      <x:c r="D6" s="20" t="str">
        <x:v>Primary identifier</x:v>
      </x:c>
      <x:c r="E6" s="20" t="str">
        <x:v>No</x:v>
      </x:c>
      <x:c r="F6" s="20" t="str">
        <x:v>Trim and clean text</x:v>
      </x:c>
      <x:c r="G6" s="20" t="str">
        <x:v>INC-001</x:v>
      </x:c>
      <x:c r="H6" s="20" t="str">
        <x:v>Must be unique</x:v>
      </x:c>
    </x:row>
    <x:row r="7">
      <x:c r="A7" s="20" t="str">
        <x:v>Incidents</x:v>
      </x:c>
      <x:c r="B7" s="20" t="str">
        <x:v>date</x:v>
      </x:c>
      <x:c r="C7" s="20" t="str">
        <x:v>Date</x:v>
      </x:c>
      <x:c r="D7" s="20" t="str">
        <x:v>Event date</x:v>
      </x:c>
      <x:c r="E7" s="20" t="str">
        <x:v>No</x:v>
      </x:c>
      <x:c r="F7" s="20" t="str">
        <x:v>Use date only, not date/time</x:v>
      </x:c>
      <x:c r="G7" s="20" t="str">
        <x:v>2026-01-05</x:v>
      </x:c>
      <x:c r="H7" s="20" t="str">
        <x:v>Used for trends</x:v>
      </x:c>
    </x:row>
    <x:row r="8">
      <x:c r="A8" s="20" t="str">
        <x:v>Incidents</x:v>
      </x:c>
      <x:c r="B8" s="20" t="str">
        <x:v>severity</x:v>
      </x:c>
      <x:c r="C8" s="20" t="str">
        <x:v>Text</x:v>
      </x:c>
      <x:c r="D8" s="20" t="str">
        <x:v>Category</x:v>
      </x:c>
      <x:c r="E8" s="20" t="str">
        <x:v>No</x:v>
      </x:c>
      <x:c r="F8" s="20" t="str">
        <x:v>Use Low, Medium, High, Critical</x:v>
      </x:c>
      <x:c r="G8" s="20" t="str">
        <x:v>High</x:v>
      </x:c>
      <x:c r="H8" s="20" t="str">
        <x:v>Keep spelling consistent</x:v>
      </x:c>
    </x:row>
    <x:row r="9">
      <x:c r="A9" s="20" t="str">
        <x:v>Incidents</x:v>
      </x:c>
      <x:c r="B9" s="20" t="str">
        <x:v>department</x:v>
      </x:c>
      <x:c r="C9" s="20" t="str">
        <x:v>Text</x:v>
      </x:c>
      <x:c r="D9" s="20" t="str">
        <x:v>Category</x:v>
      </x:c>
      <x:c r="E9" s="20" t="str">
        <x:v>No</x:v>
      </x:c>
      <x:c r="F9" s="20" t="str">
        <x:v>Match department names across tables</x:v>
      </x:c>
      <x:c r="G9" s="20" t="str">
        <x:v>Finance</x:v>
      </x:c>
      <x:c r="H9" s="20" t="str">
        <x:v>Used for filtering</x:v>
      </x:c>
    </x:row>
    <x:row r="10">
      <x:c r="A10" s="20" t="str">
        <x:v>Incidents</x:v>
      </x:c>
      <x:c r="B10" s="20" t="str">
        <x:v>system</x:v>
      </x:c>
      <x:c r="C10" s="20" t="str">
        <x:v>Text</x:v>
      </x:c>
      <x:c r="D10" s="20" t="str">
        <x:v>Foreign key by name</x:v>
      </x:c>
      <x:c r="E10" s="20" t="str">
        <x:v>No</x:v>
      </x:c>
      <x:c r="F10" s="20" t="str">
        <x:v>Must match Assets.asset_name</x:v>
      </x:c>
      <x:c r="G10" s="20" t="str">
        <x:v>Microsoft 365</x:v>
      </x:c>
      <x:c r="H10" s="20" t="str">
        <x:v>Relationship to Assets</x:v>
      </x:c>
    </x:row>
    <x:row r="11">
      <x:c r="A11" s="20" t="str">
        <x:v>Incidents</x:v>
      </x:c>
      <x:c r="B11" s="20" t="str">
        <x:v>resolution_time_hours</x:v>
      </x:c>
      <x:c r="C11" s="20" t="str">
        <x:v>Whole Number</x:v>
      </x:c>
      <x:c r="D11" s="20" t="str">
        <x:v>Measure input</x:v>
      </x:c>
      <x:c r="E11" s="20" t="str">
        <x:v>Yes</x:v>
      </x:c>
      <x:c r="F11" s="20" t="str">
        <x:v>Blank only for Open incidents</x:v>
      </x:c>
      <x:c r="G11" s="20" t="str">
        <x:v>6</x:v>
      </x:c>
      <x:c r="H11" s="20" t="str">
        <x:v>Used for average resolution time</x:v>
      </x:c>
    </x:row>
    <x:row r="12">
      <x:c r="A12" s="20" t="str">
        <x:v>Vulnerabilities</x:v>
      </x:c>
      <x:c r="B12" s="20" t="str">
        <x:v>vuln_id</x:v>
      </x:c>
      <x:c r="C12" s="20" t="str">
        <x:v>Text</x:v>
      </x:c>
      <x:c r="D12" s="20" t="str">
        <x:v>Primary identifier</x:v>
      </x:c>
      <x:c r="E12" s="20" t="str">
        <x:v>No</x:v>
      </x:c>
      <x:c r="F12" s="20" t="str">
        <x:v>Trim and clean text</x:v>
      </x:c>
      <x:c r="G12" s="20" t="str">
        <x:v>VUL-001</x:v>
      </x:c>
      <x:c r="H12" s="20" t="str">
        <x:v>Must be unique</x:v>
      </x:c>
    </x:row>
    <x:row r="13">
      <x:c r="A13" s="20" t="str">
        <x:v>Vulnerabilities</x:v>
      </x:c>
      <x:c r="B13" s="20" t="str">
        <x:v>asset_id</x:v>
      </x:c>
      <x:c r="C13" s="20" t="str">
        <x:v>Text</x:v>
      </x:c>
      <x:c r="D13" s="20" t="str">
        <x:v>Foreign key</x:v>
      </x:c>
      <x:c r="E13" s="20" t="str">
        <x:v>No</x:v>
      </x:c>
      <x:c r="F13" s="20" t="str">
        <x:v>Must match Assets.asset_id</x:v>
      </x:c>
      <x:c r="G13" s="20" t="str">
        <x:v>AST-001</x:v>
      </x:c>
      <x:c r="H13" s="20" t="str">
        <x:v>Relationship to Assets</x:v>
      </x:c>
    </x:row>
    <x:row r="14">
      <x:c r="A14" s="20" t="str">
        <x:v>Vulnerabilities</x:v>
      </x:c>
      <x:c r="B14" s="20" t="str">
        <x:v>cvss_score</x:v>
      </x:c>
      <x:c r="C14" s="20" t="str">
        <x:v>Decimal Number</x:v>
      </x:c>
      <x:c r="D14" s="20" t="str">
        <x:v>Measure input</x:v>
      </x:c>
      <x:c r="E14" s="20" t="str">
        <x:v>No</x:v>
      </x:c>
      <x:c r="F14" s="20" t="str">
        <x:v>Keep between 0.0 and 10.0</x:v>
      </x:c>
      <x:c r="G14" s="20" t="str">
        <x:v>8.1</x:v>
      </x:c>
      <x:c r="H14" s="20" t="str">
        <x:v>Used for exposure analysis</x:v>
      </x:c>
    </x:row>
    <x:row r="15">
      <x:c r="A15" s="20" t="str">
        <x:v>Vulnerabilities</x:v>
      </x:c>
      <x:c r="B15" s="20" t="str">
        <x:v>discovered_date</x:v>
      </x:c>
      <x:c r="C15" s="20" t="str">
        <x:v>Date</x:v>
      </x:c>
      <x:c r="D15" s="20" t="str">
        <x:v>Event date</x:v>
      </x:c>
      <x:c r="E15" s="20" t="str">
        <x:v>No</x:v>
      </x:c>
      <x:c r="F15" s="20" t="str">
        <x:v>Use date only</x:v>
      </x:c>
      <x:c r="G15" s="20" t="str">
        <x:v>2026-01-03</x:v>
      </x:c>
      <x:c r="H15" s="20" t="str">
        <x:v>Used for trend analysis</x:v>
      </x:c>
    </x:row>
    <x:row r="16">
      <x:c r="A16" s="20" t="str">
        <x:v>Assets</x:v>
      </x:c>
      <x:c r="B16" s="20" t="str">
        <x:v>asset_id</x:v>
      </x:c>
      <x:c r="C16" s="20" t="str">
        <x:v>Text</x:v>
      </x:c>
      <x:c r="D16" s="20" t="str">
        <x:v>Primary identifier</x:v>
      </x:c>
      <x:c r="E16" s="20" t="str">
        <x:v>No</x:v>
      </x:c>
      <x:c r="F16" s="20" t="str">
        <x:v>Trim and clean text</x:v>
      </x:c>
      <x:c r="G16" s="20" t="str">
        <x:v>AST-001</x:v>
      </x:c>
      <x:c r="H16" s="20" t="str">
        <x:v>Must be unique</x:v>
      </x:c>
    </x:row>
    <x:row r="17">
      <x:c r="A17" s="20" t="str">
        <x:v>Assets</x:v>
      </x:c>
      <x:c r="B17" s="20" t="str">
        <x:v>asset_name</x:v>
      </x:c>
      <x:c r="C17" s="20" t="str">
        <x:v>Text</x:v>
      </x:c>
      <x:c r="D17" s="20" t="str">
        <x:v>Business key</x:v>
      </x:c>
      <x:c r="E17" s="20" t="str">
        <x:v>No</x:v>
      </x:c>
      <x:c r="F17" s="20" t="str">
        <x:v>Keep unique</x:v>
      </x:c>
      <x:c r="G17" s="20" t="str">
        <x:v>E-commerce Web Server</x:v>
      </x:c>
      <x:c r="H17" s="20" t="str">
        <x:v>Links to Incidents.system</x:v>
      </x:c>
    </x:row>
    <x:row r="18">
      <x:c r="A18" s="20" t="str">
        <x:v>Risk Register</x:v>
      </x:c>
      <x:c r="B18" s="20" t="str">
        <x:v>risk_id</x:v>
      </x:c>
      <x:c r="C18" s="20" t="str">
        <x:v>Text</x:v>
      </x:c>
      <x:c r="D18" s="20" t="str">
        <x:v>Primary identifier</x:v>
      </x:c>
      <x:c r="E18" s="20" t="str">
        <x:v>No</x:v>
      </x:c>
      <x:c r="F18" s="20" t="str">
        <x:v>Trim and clean text</x:v>
      </x:c>
      <x:c r="G18" s="20" t="str">
        <x:v>R-001</x:v>
      </x:c>
      <x:c r="H18" s="20" t="str">
        <x:v>Must be unique</x:v>
      </x:c>
    </x:row>
    <x:row r="19">
      <x:c r="A19" s="20" t="str">
        <x:v>Risk Register</x:v>
      </x:c>
      <x:c r="B19" s="20" t="str">
        <x:v>likelihood</x:v>
      </x:c>
      <x:c r="C19" s="20" t="str">
        <x:v>Whole Number</x:v>
      </x:c>
      <x:c r="D19" s="20" t="str">
        <x:v>Score input</x:v>
      </x:c>
      <x:c r="E19" s="20" t="str">
        <x:v>No</x:v>
      </x:c>
      <x:c r="F19" s="20" t="str">
        <x:v>Keep between 1 and 5</x:v>
      </x:c>
      <x:c r="G19" s="20" t="str">
        <x:v>4</x:v>
      </x:c>
      <x:c r="H19" s="20" t="str">
        <x:v>Risk calculation</x:v>
      </x:c>
    </x:row>
    <x:row r="20">
      <x:c r="A20" s="20" t="str">
        <x:v>Risk Register</x:v>
      </x:c>
      <x:c r="B20" s="20" t="str">
        <x:v>impact</x:v>
      </x:c>
      <x:c r="C20" s="20" t="str">
        <x:v>Whole Number</x:v>
      </x:c>
      <x:c r="D20" s="20" t="str">
        <x:v>Score input</x:v>
      </x:c>
      <x:c r="E20" s="20" t="str">
        <x:v>No</x:v>
      </x:c>
      <x:c r="F20" s="20" t="str">
        <x:v>Keep between 1 and 5</x:v>
      </x:c>
      <x:c r="G20" s="20" t="str">
        <x:v>5</x:v>
      </x:c>
      <x:c r="H20" s="20" t="str">
        <x:v>Risk calculation</x:v>
      </x:c>
    </x:row>
    <x:row r="21">
      <x:c r="A21" s="20" t="str">
        <x:v>Risk Register</x:v>
      </x:c>
      <x:c r="B21" s="20" t="str">
        <x:v>risk_score</x:v>
      </x:c>
      <x:c r="C21" s="20" t="str">
        <x:v>Whole Number</x:v>
      </x:c>
      <x:c r="D21" s="20" t="str">
        <x:v>Calculated score</x:v>
      </x:c>
      <x:c r="E21" s="20" t="str">
        <x:v>No</x:v>
      </x:c>
      <x:c r="F21" s="20" t="str">
        <x:v>Verify likelihood × impact</x:v>
      </x:c>
      <x:c r="G21" s="20" t="str">
        <x:v>20</x:v>
      </x:c>
      <x:c r="H21" s="20" t="str">
        <x:v>Used for prioritisation</x:v>
      </x:c>
    </x:row>
    <x:row r="22">
      <x:c r="A22" s="20" t="str">
        <x:v>Control Mapping</x:v>
      </x:c>
      <x:c r="B22" s="20" t="str">
        <x:v>risk_id</x:v>
      </x:c>
      <x:c r="C22" s="20" t="str">
        <x:v>Text</x:v>
      </x:c>
      <x:c r="D22" s="20" t="str">
        <x:v>Foreign key</x:v>
      </x:c>
      <x:c r="E22" s="20" t="str">
        <x:v>No</x:v>
      </x:c>
      <x:c r="F22" s="20" t="str">
        <x:v>Must match Risk Register.risk_id</x:v>
      </x:c>
      <x:c r="G22" s="20" t="str">
        <x:v>R-001</x:v>
      </x:c>
      <x:c r="H22" s="20" t="str">
        <x:v>Relationship to Risk Register</x:v>
      </x:c>
    </x:row>
    <x:row r="25">
      <x:c r="A25" s="45" t="str">
        <x:v>From Table</x:v>
      </x:c>
      <x:c r="B25" s="45" t="str">
        <x:v>From Column</x:v>
      </x:c>
      <x:c r="C25" s="45" t="str">
        <x:v>To Table</x:v>
      </x:c>
      <x:c r="D25" s="45" t="str">
        <x:v>To Column</x:v>
      </x:c>
      <x:c r="E25" s="45" t="str">
        <x:v>Cardinality</x:v>
      </x:c>
      <x:c r="F25" s="45" t="str">
        <x:v>Cross-filter Direction</x:v>
      </x:c>
    </x:row>
    <x:row r="26">
      <x:c r="A26" t="str">
        <x:v>Incidents</x:v>
      </x:c>
      <x:c r="B26" t="str">
        <x:v>system</x:v>
      </x:c>
      <x:c r="C26" t="str">
        <x:v>Assets</x:v>
      </x:c>
      <x:c r="D26" t="str">
        <x:v>asset_name</x:v>
      </x:c>
      <x:c r="E26" t="str">
        <x:v>Many-to-one</x:v>
      </x:c>
      <x:c r="F26" t="str">
        <x:v>Single</x:v>
      </x:c>
    </x:row>
    <x:row r="27">
      <x:c r="A27" t="str">
        <x:v>Vulnerabilities</x:v>
      </x:c>
      <x:c r="B27" t="str">
        <x:v>asset_id</x:v>
      </x:c>
      <x:c r="C27" t="str">
        <x:v>Assets</x:v>
      </x:c>
      <x:c r="D27" t="str">
        <x:v>asset_id</x:v>
      </x:c>
      <x:c r="E27" t="str">
        <x:v>Many-to-one</x:v>
      </x:c>
      <x:c r="F27" t="str">
        <x:v>Single</x:v>
      </x:c>
    </x:row>
    <x:row r="28">
      <x:c r="A28" t="str">
        <x:v>Control Mapping</x:v>
      </x:c>
      <x:c r="B28" t="str">
        <x:v>risk_id</x:v>
      </x:c>
      <x:c r="C28" t="str">
        <x:v>Risk Register</x:v>
      </x:c>
      <x:c r="D28" t="str">
        <x:v>risk_id</x:v>
      </x:c>
      <x:c r="E28" t="str">
        <x:v>Many-to-one</x:v>
      </x:c>
      <x:c r="F28" t="str">
        <x:v>Single</x:v>
      </x:c>
    </x:row>
    <x:row r="31">
      <x:c r="A31" s="45" t="str">
        <x:v>Step</x:v>
      </x:c>
      <x:c r="B31" s="45" t="str">
        <x:v>Power Query Action</x:v>
      </x:c>
      <x:c r="C31" s="45" t="str">
        <x:v>Tables</x:v>
      </x:c>
      <x:c r="D31" s="45" t="str">
        <x:v>Purpose</x:v>
      </x:c>
    </x:row>
    <x:row r="32">
      <x:c r="A32" t="n">
        <x:v>1</x:v>
      </x:c>
      <x:c r="B32" t="str">
        <x:v>Promote headers</x:v>
      </x:c>
      <x:c r="C32" t="str">
        <x:v>All tables</x:v>
      </x:c>
      <x:c r="D32" t="str">
        <x:v>Ensure the first row is used as column names.</x:v>
      </x:c>
    </x:row>
    <x:row r="33">
      <x:c r="A33" t="n">
        <x:v>2</x:v>
      </x:c>
      <x:c r="B33" t="str">
        <x:v>Set data types</x:v>
      </x:c>
      <x:c r="C33" t="str">
        <x:v>All tables</x:v>
      </x:c>
      <x:c r="D33" t="str">
        <x:v>Prevent text, date, and numeric fields from being interpreted incorrectly.</x:v>
      </x:c>
    </x:row>
    <x:row r="34">
      <x:c r="A34" t="n">
        <x:v>3</x:v>
      </x:c>
      <x:c r="B34" t="str">
        <x:v>Trim and clean text</x:v>
      </x:c>
      <x:c r="C34" t="str">
        <x:v>All text columns</x:v>
      </x:c>
      <x:c r="D34" t="str">
        <x:v>Remove leading, trailing, and hidden characters.</x:v>
      </x:c>
    </x:row>
    <x:row r="35">
      <x:c r="A35" t="n">
        <x:v>4</x:v>
      </x:c>
      <x:c r="B35" t="str">
        <x:v>Check for errors</x:v>
      </x:c>
      <x:c r="C35" t="str">
        <x:v>All tables</x:v>
      </x:c>
      <x:c r="D35" t="str">
        <x:v>Remove or correct conversion errors before loading.</x:v>
      </x:c>
    </x:row>
    <x:row r="36">
      <x:c r="A36" t="n">
        <x:v>5</x:v>
      </x:c>
      <x:c r="B36" t="str">
        <x:v>Verify category values</x:v>
      </x:c>
      <x:c r="C36" t="str">
        <x:v>Incidents, Vulnerabilities, Risk Register</x:v>
      </x:c>
      <x:c r="D36" t="str">
        <x:v>Keep severity and status values consistent.</x:v>
      </x:c>
    </x:row>
    <x:row r="37">
      <x:c r="A37" t="n">
        <x:v>6</x:v>
      </x:c>
      <x:c r="B37" t="str">
        <x:v>Close and apply</x:v>
      </x:c>
      <x:c r="C37" t="str">
        <x:v>All tables</x:v>
      </x:c>
      <x:c r="D37" t="str">
        <x:v>Load the validated model into Power BI.</x:v>
      </x:c>
    </x:row>
  </x:sheetData>
  <x:mergeCells>
    <x:mergeCell ref="A1:H1"/>
    <x:mergeCell ref="A3:H3"/>
  </x:mergeCells>
  <x:pageMargins left="0.7" right="0.7" top="0.75" bottom="0.75" header="0.3" footer="0.3"/>
</x:worksheet>
</file>