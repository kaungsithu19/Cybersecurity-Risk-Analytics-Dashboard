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f-study\Cybersecurity_Risk_Analytics_Project\01_Data\"/>
    </mc:Choice>
  </mc:AlternateContent>
  <xr:revisionPtr revIDLastSave="0" documentId="8_{ABAA3633-CC50-4096-AB6A-1ED2C26429F5}" xr6:coauthVersionLast="47" xr6:coauthVersionMax="47" xr10:uidLastSave="{00000000-0000-0000-0000-000000000000}"/>
  <bookViews>
    <workbookView xWindow="-108" yWindow="-108" windowWidth="23256" windowHeight="12456" xr2:uid="{82478977-5FE9-4BA0-9191-B45EEE530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F14" i="1" s="1"/>
  <c r="F13" i="1"/>
  <c r="E13" i="1"/>
  <c r="E12" i="1"/>
  <c r="F12" i="1" s="1"/>
  <c r="E11" i="1"/>
  <c r="F11" i="1" s="1"/>
  <c r="F10" i="1"/>
  <c r="E10" i="1"/>
  <c r="E9" i="1"/>
  <c r="F9" i="1" s="1"/>
  <c r="E8" i="1"/>
  <c r="F8" i="1" s="1"/>
  <c r="F7" i="1"/>
  <c r="E7" i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<sst xmlns="http://schemas.openxmlformats.org/spreadsheetml/2006/main" count="57" uniqueCount="42">
  <si>
    <t>Risk Register</t>
  </si>
  <si>
    <t>risk_id</t>
  </si>
  <si>
    <t>risk_description</t>
  </si>
  <si>
    <t>likelihood</t>
  </si>
  <si>
    <t>impact</t>
  </si>
  <si>
    <t>risk_score</t>
  </si>
  <si>
    <t>risk_level</t>
  </si>
  <si>
    <t>status</t>
  </si>
  <si>
    <t>department</t>
  </si>
  <si>
    <t>R-001</t>
  </si>
  <si>
    <t>Phishing attack against Finance users</t>
  </si>
  <si>
    <t>Open</t>
  </si>
  <si>
    <t>Finance</t>
  </si>
  <si>
    <t>R-002</t>
  </si>
  <si>
    <t>Unpatched internet-facing web server is exploited</t>
  </si>
  <si>
    <t>IT</t>
  </si>
  <si>
    <t>R-003</t>
  </si>
  <si>
    <t>Microsoft 365 account takeover through repeated failed logins</t>
  </si>
  <si>
    <t>In Progress</t>
  </si>
  <si>
    <t>R-004</t>
  </si>
  <si>
    <t>Malware infection spreads from employee laptops</t>
  </si>
  <si>
    <t>R-005</t>
  </si>
  <si>
    <t>Customer data is exposed through excessive CRM privileges</t>
  </si>
  <si>
    <t>Sales</t>
  </si>
  <si>
    <t>R-006</t>
  </si>
  <si>
    <t>Sensitive HR records are accessed without authorization</t>
  </si>
  <si>
    <t>HR</t>
  </si>
  <si>
    <t>R-007</t>
  </si>
  <si>
    <t>Inventory operations are disrupted by outdated workstations</t>
  </si>
  <si>
    <t>Accepted</t>
  </si>
  <si>
    <t>Warehouse</t>
  </si>
  <si>
    <t>R-008</t>
  </si>
  <si>
    <t>Online services are disrupted by web attacks</t>
  </si>
  <si>
    <t>R-009</t>
  </si>
  <si>
    <t>Customer support data is lost due to insufficient backups</t>
  </si>
  <si>
    <t>Customer Support</t>
  </si>
  <si>
    <t>R-010</t>
  </si>
  <si>
    <t>VPN gateway compromise enables unauthorized remote access</t>
  </si>
  <si>
    <t>R-011</t>
  </si>
  <si>
    <t>Weak wireless device credentials allow internal network access</t>
  </si>
  <si>
    <t>R-012</t>
  </si>
  <si>
    <t>Delayed incident response increases business disruption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</si>
</sst>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CF9F0-E613-42C5-8BB2-336232355ADF}" name="RiskRegisterTable" displayName="RiskRegisterTable" ref="A2:H14">
  <tableColumns count="8">
    <tableColumn id="1" xr3:uid="{177A29DA-CBB1-4AC5-BDE4-2225A39F3A07}" name="risk_id"/>
    <tableColumn id="2" xr3:uid="{C9E93FC4-B5F9-4164-8D8E-6E9E4224F3F5}" name="risk_description"/>
    <tableColumn id="3" xr3:uid="{AD492E5F-D1AF-4B9B-8C41-422EDBBCB748}" name="likelihood"/>
    <tableColumn id="4" xr3:uid="{8C3FB284-282D-471B-8931-BCCEC3839896}" name="impact"/>
    <tableColumn id="5" xr3:uid="{E9224DF2-33C4-48F9-96F2-7EF33F65A011}" name="risk_score">
      <calculatedColumnFormula>C3*D3</calculatedColumnFormula>
    </tableColumn>
    <tableColumn id="6" xr3:uid="{EB326997-F3FE-4DD3-B37D-C16E0232786C}" name="risk_level">
      <calculatedColumnFormula>IF(E3&lt;=5,"Low",IF(E3&lt;=10,"Medium",IF(E3&lt;=15,"High","Critical")))</calculatedColumnFormula>
    </tableColumn>
    <tableColumn id="7" xr3:uid="{F5E01786-0327-42DB-9988-B930043DC7BC}" name="status"/>
    <tableColumn id="8" xr3:uid="{1E90CDC1-70E2-43A8-B1ED-EFD75A0E2139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AE66-2FE8-4568-B0A5-873265AD538D}">
  <dimension ref="A1:H14"/>
  <sheetViews>
    <sheetView tabSelected="1" workbookViewId="0">
      <selection sqref="A1:XFD1048576"/>
    </sheetView>
  </sheetViews>
  <sheetFormatPr defaultRowHeight="14.4"/>
  <cols>
    <col min="1" max="1" width="13.33203125" customWidth="1"/>
    <col min="2" max="2" width="51.109375" customWidth="1"/>
    <col min="3" max="3" width="13.33203125" customWidth="1"/>
    <col min="4" max="4" width="11.109375" customWidth="1"/>
    <col min="5" max="5" width="13.33203125" customWidth="1"/>
    <col min="6" max="6" width="15.5546875" customWidth="1"/>
    <col min="7" max="7" width="17.77734375" customWidth="1"/>
    <col min="8" max="8" width="20" customWidth="1"/>
  </cols>
  <sheetData>
    <row r="1" spans="1:8" ht="21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4" t="s">
        <v>9</v>
      </c>
      <c r="B3" s="4" t="s">
        <v>10</v>
      </c>
      <c r="C3" s="4">
        <v>4</v>
      </c>
      <c r="D3" s="4">
        <v>5</v>
      </c>
      <c r="E3" s="4">
        <f t="shared" ref="E3:E14" si="0">C3*D3</f>
        <v>20</v>
      </c>
      <c r="F3" s="4" t="str">
        <f t="shared" ref="F3:F14" si="1">IF(E3&lt;=5,"Low",IF(E3&lt;=10,"Medium",IF(E3&lt;=15,"High","Critical")))</f>
        <v>Critical</v>
      </c>
      <c r="G3" s="4" t="s">
        <v>11</v>
      </c>
      <c r="H3" s="4" t="s">
        <v>12</v>
      </c>
    </row>
    <row r="4" spans="1:8">
      <c r="A4" s="4" t="s">
        <v>13</v>
      </c>
      <c r="B4" s="4" t="s">
        <v>14</v>
      </c>
      <c r="C4" s="4">
        <v>4</v>
      </c>
      <c r="D4" s="4">
        <v>5</v>
      </c>
      <c r="E4" s="4">
        <f t="shared" si="0"/>
        <v>20</v>
      </c>
      <c r="F4" s="4" t="str">
        <f t="shared" si="1"/>
        <v>Critical</v>
      </c>
      <c r="G4" s="4" t="s">
        <v>11</v>
      </c>
      <c r="H4" s="4" t="s">
        <v>15</v>
      </c>
    </row>
    <row r="5" spans="1:8" ht="28.8">
      <c r="A5" s="4" t="s">
        <v>16</v>
      </c>
      <c r="B5" s="4" t="s">
        <v>17</v>
      </c>
      <c r="C5" s="4">
        <v>4</v>
      </c>
      <c r="D5" s="4">
        <v>4</v>
      </c>
      <c r="E5" s="4">
        <f t="shared" si="0"/>
        <v>16</v>
      </c>
      <c r="F5" s="4" t="str">
        <f t="shared" si="1"/>
        <v>Critical</v>
      </c>
      <c r="G5" s="4" t="s">
        <v>18</v>
      </c>
      <c r="H5" s="4" t="s">
        <v>15</v>
      </c>
    </row>
    <row r="6" spans="1:8">
      <c r="A6" s="4" t="s">
        <v>19</v>
      </c>
      <c r="B6" s="4" t="s">
        <v>20</v>
      </c>
      <c r="C6" s="4">
        <v>3</v>
      </c>
      <c r="D6" s="4">
        <v>5</v>
      </c>
      <c r="E6" s="4">
        <f t="shared" si="0"/>
        <v>15</v>
      </c>
      <c r="F6" s="4" t="str">
        <f t="shared" si="1"/>
        <v>High</v>
      </c>
      <c r="G6" s="4" t="s">
        <v>18</v>
      </c>
      <c r="H6" s="4" t="s">
        <v>15</v>
      </c>
    </row>
    <row r="7" spans="1:8">
      <c r="A7" s="4" t="s">
        <v>21</v>
      </c>
      <c r="B7" s="4" t="s">
        <v>22</v>
      </c>
      <c r="C7" s="4">
        <v>3</v>
      </c>
      <c r="D7" s="4">
        <v>5</v>
      </c>
      <c r="E7" s="4">
        <f t="shared" si="0"/>
        <v>15</v>
      </c>
      <c r="F7" s="4" t="str">
        <f t="shared" si="1"/>
        <v>High</v>
      </c>
      <c r="G7" s="4" t="s">
        <v>11</v>
      </c>
      <c r="H7" s="4" t="s">
        <v>23</v>
      </c>
    </row>
    <row r="8" spans="1:8">
      <c r="A8" s="4" t="s">
        <v>24</v>
      </c>
      <c r="B8" s="4" t="s">
        <v>25</v>
      </c>
      <c r="C8" s="4">
        <v>3</v>
      </c>
      <c r="D8" s="4">
        <v>4</v>
      </c>
      <c r="E8" s="4">
        <f t="shared" si="0"/>
        <v>12</v>
      </c>
      <c r="F8" s="4" t="str">
        <f t="shared" si="1"/>
        <v>High</v>
      </c>
      <c r="G8" s="4" t="s">
        <v>11</v>
      </c>
      <c r="H8" s="4" t="s">
        <v>26</v>
      </c>
    </row>
    <row r="9" spans="1:8" ht="28.8">
      <c r="A9" s="4" t="s">
        <v>27</v>
      </c>
      <c r="B9" s="4" t="s">
        <v>28</v>
      </c>
      <c r="C9" s="4">
        <v>3</v>
      </c>
      <c r="D9" s="4">
        <v>3</v>
      </c>
      <c r="E9" s="4">
        <f t="shared" si="0"/>
        <v>9</v>
      </c>
      <c r="F9" s="4" t="str">
        <f t="shared" si="1"/>
        <v>Medium</v>
      </c>
      <c r="G9" s="4" t="s">
        <v>29</v>
      </c>
      <c r="H9" s="4" t="s">
        <v>30</v>
      </c>
    </row>
    <row r="10" spans="1:8">
      <c r="A10" s="4" t="s">
        <v>31</v>
      </c>
      <c r="B10" s="4" t="s">
        <v>32</v>
      </c>
      <c r="C10" s="4">
        <v>4</v>
      </c>
      <c r="D10" s="4">
        <v>4</v>
      </c>
      <c r="E10" s="4">
        <f t="shared" si="0"/>
        <v>16</v>
      </c>
      <c r="F10" s="4" t="str">
        <f t="shared" si="1"/>
        <v>Critical</v>
      </c>
      <c r="G10" s="4" t="s">
        <v>11</v>
      </c>
      <c r="H10" s="4" t="s">
        <v>15</v>
      </c>
    </row>
    <row r="11" spans="1:8">
      <c r="A11" s="4" t="s">
        <v>33</v>
      </c>
      <c r="B11" s="4" t="s">
        <v>34</v>
      </c>
      <c r="C11" s="4">
        <v>2</v>
      </c>
      <c r="D11" s="4">
        <v>5</v>
      </c>
      <c r="E11" s="4">
        <f t="shared" si="0"/>
        <v>10</v>
      </c>
      <c r="F11" s="4" t="str">
        <f t="shared" si="1"/>
        <v>Medium</v>
      </c>
      <c r="G11" s="4" t="s">
        <v>18</v>
      </c>
      <c r="H11" s="4" t="s">
        <v>35</v>
      </c>
    </row>
    <row r="12" spans="1:8" ht="28.8">
      <c r="A12" s="4" t="s">
        <v>36</v>
      </c>
      <c r="B12" s="4" t="s">
        <v>37</v>
      </c>
      <c r="C12" s="4">
        <v>3</v>
      </c>
      <c r="D12" s="4">
        <v>5</v>
      </c>
      <c r="E12" s="4">
        <f t="shared" si="0"/>
        <v>15</v>
      </c>
      <c r="F12" s="4" t="str">
        <f t="shared" si="1"/>
        <v>High</v>
      </c>
      <c r="G12" s="4" t="s">
        <v>11</v>
      </c>
      <c r="H12" s="4" t="s">
        <v>15</v>
      </c>
    </row>
    <row r="13" spans="1:8" ht="28.8">
      <c r="A13" s="4" t="s">
        <v>38</v>
      </c>
      <c r="B13" s="4" t="s">
        <v>39</v>
      </c>
      <c r="C13" s="4">
        <v>3</v>
      </c>
      <c r="D13" s="4">
        <v>3</v>
      </c>
      <c r="E13" s="4">
        <f t="shared" si="0"/>
        <v>9</v>
      </c>
      <c r="F13" s="4" t="str">
        <f t="shared" si="1"/>
        <v>Medium</v>
      </c>
      <c r="G13" s="4" t="s">
        <v>11</v>
      </c>
      <c r="H13" s="4" t="s">
        <v>15</v>
      </c>
    </row>
    <row r="14" spans="1:8">
      <c r="A14" s="4" t="s">
        <v>40</v>
      </c>
      <c r="B14" s="4" t="s">
        <v>41</v>
      </c>
      <c r="C14" s="4">
        <v>4</v>
      </c>
      <c r="D14" s="4">
        <v>3</v>
      </c>
      <c r="E14" s="4">
        <f t="shared" si="0"/>
        <v>12</v>
      </c>
      <c r="F14" s="4" t="str">
        <f t="shared" si="1"/>
        <v>High</v>
      </c>
      <c r="G14" s="4" t="s">
        <v>18</v>
      </c>
      <c r="H14" s="4" t="s">
        <v>15</v>
      </c>
    </row>
  </sheetData>
  <mergeCells count="1">
    <mergeCell ref="A1:H1"/>
  </mergeCells>
  <conditionalFormatting sqref="E3:E14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2">
    <dataValidation type="list" sqref="G3:G14" xr:uid="{3FB3D243-24FD-4D9C-B500-4A273174F160}">
      <formula1>"Open,In Progress,Accepted,Mitigated"</formula1>
    </dataValidation>
    <dataValidation type="list" sqref="C3:D14" xr:uid="{16BEC9CF-360F-4375-8331-281B60FAB9FD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Si Thu</dc:creator>
  <cp:lastModifiedBy>Kaung Si Thu</cp:lastModifiedBy>
  <dcterms:created xsi:type="dcterms:W3CDTF">2026-06-04T13:02:54Z</dcterms:created>
  <dcterms:modified xsi:type="dcterms:W3CDTF">2026-06-04T13:03:14Z</dcterms:modified>
</cp:coreProperties>
</file>