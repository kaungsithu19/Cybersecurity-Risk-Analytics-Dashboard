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1_7567A244DEECDC8B4296D11FE606364637A971E1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Incidents" sheetId="1" r:id="rId1"/>
    <sheet name="Vulnerabilities" sheetId="2" r:id="rId2"/>
    <sheet name="Assets" sheetId="3" r:id="rId3"/>
    <sheet name="Risk Register" sheetId="4" r:id="rId4"/>
    <sheet name="Control Mapping" sheetId="5" r:id="rId5"/>
    <sheet name="Instruc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4" l="1"/>
  <c r="F14" i="4" s="1"/>
  <c r="E13" i="4"/>
  <c r="F13" i="4" s="1"/>
  <c r="E12" i="4"/>
  <c r="F12" i="4" s="1"/>
  <c r="E11" i="4"/>
  <c r="F11" i="4" s="1"/>
  <c r="E10" i="4"/>
  <c r="F10" i="4" s="1"/>
  <c r="E9" i="4"/>
  <c r="F9" i="4" s="1"/>
  <c r="E8" i="4"/>
  <c r="F8" i="4" s="1"/>
  <c r="E7" i="4"/>
  <c r="F7" i="4" s="1"/>
  <c r="E6" i="4"/>
  <c r="F6" i="4" s="1"/>
  <c r="E5" i="4"/>
  <c r="F5" i="4" s="1"/>
  <c r="E4" i="4"/>
  <c r="F4" i="4" s="1"/>
  <c r="E3" i="4"/>
  <c r="F3" i="4" s="1"/>
</calcChain>
</file>

<file path=xl/sharedStrings.xml><?xml version="1.0" encoding="utf-8"?>
<sst xmlns="http://schemas.openxmlformats.org/spreadsheetml/2006/main" count="1169" uniqueCount="338">
  <si>
    <t>Incidents</t>
  </si>
  <si>
    <t>incident_id</t>
  </si>
  <si>
    <t>date</t>
  </si>
  <si>
    <t>incident_type</t>
  </si>
  <si>
    <t>severity</t>
  </si>
  <si>
    <t>department</t>
  </si>
  <si>
    <t>system</t>
  </si>
  <si>
    <t>status</t>
  </si>
  <si>
    <t>resolution_time_hours</t>
  </si>
  <si>
    <t>business_impact</t>
  </si>
  <si>
    <t>INC-001</t>
  </si>
  <si>
    <t>Phishing</t>
  </si>
  <si>
    <t>Medium</t>
  </si>
  <si>
    <t>Sales</t>
  </si>
  <si>
    <t>Sales Laptop Fleet</t>
  </si>
  <si>
    <t>Closed</t>
  </si>
  <si>
    <t>Potential credential theft or payment fraud</t>
  </si>
  <si>
    <t>INC-002</t>
  </si>
  <si>
    <t>High</t>
  </si>
  <si>
    <t>INC-003</t>
  </si>
  <si>
    <t>Unauthorized Access</t>
  </si>
  <si>
    <t>Finance</t>
  </si>
  <si>
    <t>Accounting System</t>
  </si>
  <si>
    <t>Potential exposure of sensitive business data</t>
  </si>
  <si>
    <t>INC-004</t>
  </si>
  <si>
    <t>Microsoft 365</t>
  </si>
  <si>
    <t>INC-005</t>
  </si>
  <si>
    <t>Malware Alert</t>
  </si>
  <si>
    <t>Customer Support</t>
  </si>
  <si>
    <t>Possible endpoint compromise and downtime</t>
  </si>
  <si>
    <t>INC-006</t>
  </si>
  <si>
    <t>Warehouse</t>
  </si>
  <si>
    <t>Warehouse Workstations</t>
  </si>
  <si>
    <t>INC-007</t>
  </si>
  <si>
    <t>Failed Login</t>
  </si>
  <si>
    <t>Possible account takeover attempt</t>
  </si>
  <si>
    <t>INC-008</t>
  </si>
  <si>
    <t>Finance Laptop Fleet</t>
  </si>
  <si>
    <t>INC-009</t>
  </si>
  <si>
    <t>Data Loss</t>
  </si>
  <si>
    <t>Open</t>
  </si>
  <si>
    <t>Possible loss of customer or operational information</t>
  </si>
  <si>
    <t>INC-010</t>
  </si>
  <si>
    <t>Web Attack</t>
  </si>
  <si>
    <t>Low</t>
  </si>
  <si>
    <t>IT</t>
  </si>
  <si>
    <t>VPN Gateway</t>
  </si>
  <si>
    <t>Potential disruption or compromise of online services</t>
  </si>
  <si>
    <t>INC-011</t>
  </si>
  <si>
    <t>INC-012</t>
  </si>
  <si>
    <t>CRM Platform</t>
  </si>
  <si>
    <t>INC-013</t>
  </si>
  <si>
    <t>INC-014</t>
  </si>
  <si>
    <t>INC-015</t>
  </si>
  <si>
    <t>Critical</t>
  </si>
  <si>
    <t>INC-016</t>
  </si>
  <si>
    <t>INC-017</t>
  </si>
  <si>
    <t>HR</t>
  </si>
  <si>
    <t>HR Laptop Fleet</t>
  </si>
  <si>
    <t>In Progress</t>
  </si>
  <si>
    <t>INC-018</t>
  </si>
  <si>
    <t>INC-019</t>
  </si>
  <si>
    <t>E-commerce Web Server</t>
  </si>
  <si>
    <t>INC-020</t>
  </si>
  <si>
    <t>INC-021</t>
  </si>
  <si>
    <t>INC-022</t>
  </si>
  <si>
    <t>INC-023</t>
  </si>
  <si>
    <t>INC-024</t>
  </si>
  <si>
    <t>INC-025</t>
  </si>
  <si>
    <t>INC-026</t>
  </si>
  <si>
    <t>INC-027</t>
  </si>
  <si>
    <t>INC-028</t>
  </si>
  <si>
    <t>INC-029</t>
  </si>
  <si>
    <t>INC-030</t>
  </si>
  <si>
    <t>INC-031</t>
  </si>
  <si>
    <t>INC-032</t>
  </si>
  <si>
    <t>INC-033</t>
  </si>
  <si>
    <t>INC-034</t>
  </si>
  <si>
    <t>INC-035</t>
  </si>
  <si>
    <t>File Server</t>
  </si>
  <si>
    <t>INC-036</t>
  </si>
  <si>
    <t>Customer Support Ticketing</t>
  </si>
  <si>
    <t>INC-037</t>
  </si>
  <si>
    <t>INC-038</t>
  </si>
  <si>
    <t>INC-039</t>
  </si>
  <si>
    <t>INC-040</t>
  </si>
  <si>
    <t>INC-041</t>
  </si>
  <si>
    <t>INC-042</t>
  </si>
  <si>
    <t>INC-043</t>
  </si>
  <si>
    <t>INC-044</t>
  </si>
  <si>
    <t>INC-045</t>
  </si>
  <si>
    <t>INC-046</t>
  </si>
  <si>
    <t>INC-047</t>
  </si>
  <si>
    <t>INC-048</t>
  </si>
  <si>
    <t>Inventory System</t>
  </si>
  <si>
    <t>INC-049</t>
  </si>
  <si>
    <t>INC-050</t>
  </si>
  <si>
    <t>INC-051</t>
  </si>
  <si>
    <t>INC-052</t>
  </si>
  <si>
    <t>INC-053</t>
  </si>
  <si>
    <t>INC-054</t>
  </si>
  <si>
    <t>INC-055</t>
  </si>
  <si>
    <t>INC-056</t>
  </si>
  <si>
    <t>INC-057</t>
  </si>
  <si>
    <t>INC-058</t>
  </si>
  <si>
    <t>INC-059</t>
  </si>
  <si>
    <t>INC-060</t>
  </si>
  <si>
    <t>INC-061</t>
  </si>
  <si>
    <t>INC-062</t>
  </si>
  <si>
    <t>INC-063</t>
  </si>
  <si>
    <t>INC-064</t>
  </si>
  <si>
    <t>INC-065</t>
  </si>
  <si>
    <t>INC-066</t>
  </si>
  <si>
    <t>INC-067</t>
  </si>
  <si>
    <t>HR Portal</t>
  </si>
  <si>
    <t>INC-068</t>
  </si>
  <si>
    <t>INC-069</t>
  </si>
  <si>
    <t>INC-070</t>
  </si>
  <si>
    <t>INC-071</t>
  </si>
  <si>
    <t>INC-072</t>
  </si>
  <si>
    <t>INC-073</t>
  </si>
  <si>
    <t>INC-074</t>
  </si>
  <si>
    <t>INC-075</t>
  </si>
  <si>
    <t>INC-076</t>
  </si>
  <si>
    <t>INC-077</t>
  </si>
  <si>
    <t>INC-078</t>
  </si>
  <si>
    <t>INC-079</t>
  </si>
  <si>
    <t>INC-080</t>
  </si>
  <si>
    <t>Vulnerabilities</t>
  </si>
  <si>
    <t>vuln_id</t>
  </si>
  <si>
    <t>asset_id</t>
  </si>
  <si>
    <t>asset_name</t>
  </si>
  <si>
    <t>vulnerability</t>
  </si>
  <si>
    <t>cvss_score</t>
  </si>
  <si>
    <t>patch_status</t>
  </si>
  <si>
    <t>owner</t>
  </si>
  <si>
    <t>discovered_date</t>
  </si>
  <si>
    <t>VUL-001</t>
  </si>
  <si>
    <t>AST-008</t>
  </si>
  <si>
    <t>Unrestricted administrative access</t>
  </si>
  <si>
    <t>Not Patched</t>
  </si>
  <si>
    <t>Finance Manager</t>
  </si>
  <si>
    <t>VUL-002</t>
  </si>
  <si>
    <t>AST-012</t>
  </si>
  <si>
    <t>Customer Database</t>
  </si>
  <si>
    <t>Missing endpoint protection update</t>
  </si>
  <si>
    <t>IT Administrator</t>
  </si>
  <si>
    <t>VUL-003</t>
  </si>
  <si>
    <t>AST-013</t>
  </si>
  <si>
    <t>SQL injection exposure</t>
  </si>
  <si>
    <t>Patched</t>
  </si>
  <si>
    <t>VUL-004</t>
  </si>
  <si>
    <t>AST-007</t>
  </si>
  <si>
    <t>Missing operating system security updates</t>
  </si>
  <si>
    <t>Support Manager</t>
  </si>
  <si>
    <t>VUL-005</t>
  </si>
  <si>
    <t>AST-014</t>
  </si>
  <si>
    <t>Weak password policy</t>
  </si>
  <si>
    <t>VUL-006</t>
  </si>
  <si>
    <t>AST-010</t>
  </si>
  <si>
    <t>Default device credentials</t>
  </si>
  <si>
    <t>HR Manager</t>
  </si>
  <si>
    <t>VUL-007</t>
  </si>
  <si>
    <t>AST-002</t>
  </si>
  <si>
    <t>CRM Administrator</t>
  </si>
  <si>
    <t>VUL-008</t>
  </si>
  <si>
    <t>AST-009</t>
  </si>
  <si>
    <t>Excessive user privileges</t>
  </si>
  <si>
    <t>VUL-009</t>
  </si>
  <si>
    <t>AST-015</t>
  </si>
  <si>
    <t>Wireless Access Points</t>
  </si>
  <si>
    <t>Publicly exposed management interface</t>
  </si>
  <si>
    <t>VUL-010</t>
  </si>
  <si>
    <t>Unsupported software version</t>
  </si>
  <si>
    <t>VUL-011</t>
  </si>
  <si>
    <t>Outdated web server software</t>
  </si>
  <si>
    <t>VUL-012</t>
  </si>
  <si>
    <t>VUL-013</t>
  </si>
  <si>
    <t>AST-011</t>
  </si>
  <si>
    <t>Warehouse Manager</t>
  </si>
  <si>
    <t>VUL-014</t>
  </si>
  <si>
    <t>Risk Accepted</t>
  </si>
  <si>
    <t>VUL-015</t>
  </si>
  <si>
    <t>AST-006</t>
  </si>
  <si>
    <t>VUL-016</t>
  </si>
  <si>
    <t>VUL-017</t>
  </si>
  <si>
    <t>VUL-018</t>
  </si>
  <si>
    <t>VUL-019</t>
  </si>
  <si>
    <t>VUL-020</t>
  </si>
  <si>
    <t>AST-001</t>
  </si>
  <si>
    <t>VUL-021</t>
  </si>
  <si>
    <t>VUL-022</t>
  </si>
  <si>
    <t>AST-003</t>
  </si>
  <si>
    <t>VUL-023</t>
  </si>
  <si>
    <t>VUL-024</t>
  </si>
  <si>
    <t>AST-005</t>
  </si>
  <si>
    <t>VUL-025</t>
  </si>
  <si>
    <t>VUL-026</t>
  </si>
  <si>
    <t>VUL-027</t>
  </si>
  <si>
    <t>VUL-028</t>
  </si>
  <si>
    <t>VUL-029</t>
  </si>
  <si>
    <t>VUL-030</t>
  </si>
  <si>
    <t>VUL-031</t>
  </si>
  <si>
    <t>Insufficient logging and monitoring</t>
  </si>
  <si>
    <t>VUL-032</t>
  </si>
  <si>
    <t>VUL-033</t>
  </si>
  <si>
    <t>VUL-034</t>
  </si>
  <si>
    <t>VUL-035</t>
  </si>
  <si>
    <t>VUL-036</t>
  </si>
  <si>
    <t>VUL-037</t>
  </si>
  <si>
    <t>VUL-038</t>
  </si>
  <si>
    <t>VUL-039</t>
  </si>
  <si>
    <t>VUL-040</t>
  </si>
  <si>
    <t>VUL-041</t>
  </si>
  <si>
    <t>VUL-042</t>
  </si>
  <si>
    <t>Insecure TLS configuration</t>
  </si>
  <si>
    <t>VUL-043</t>
  </si>
  <si>
    <t>VUL-044</t>
  </si>
  <si>
    <t>AST-004</t>
  </si>
  <si>
    <t>VUL-045</t>
  </si>
  <si>
    <t>Assets</t>
  </si>
  <si>
    <t>asset_type</t>
  </si>
  <si>
    <t>criticality</t>
  </si>
  <si>
    <t>internet_facing</t>
  </si>
  <si>
    <t>Server</t>
  </si>
  <si>
    <t>Yes</t>
  </si>
  <si>
    <t>Application</t>
  </si>
  <si>
    <t>Cloud Service</t>
  </si>
  <si>
    <t>No</t>
  </si>
  <si>
    <t>Endpoint</t>
  </si>
  <si>
    <t>Database</t>
  </si>
  <si>
    <t>Database Administrator</t>
  </si>
  <si>
    <t>Network Device</t>
  </si>
  <si>
    <t>Network Administrator</t>
  </si>
  <si>
    <t>Risk Register</t>
  </si>
  <si>
    <t>risk_id</t>
  </si>
  <si>
    <t>risk_description</t>
  </si>
  <si>
    <t>likelihood</t>
  </si>
  <si>
    <t>impact</t>
  </si>
  <si>
    <t>risk_score</t>
  </si>
  <si>
    <t>risk_level</t>
  </si>
  <si>
    <t>R-001</t>
  </si>
  <si>
    <t>Phishing attack against Finance users</t>
  </si>
  <si>
    <t>R-002</t>
  </si>
  <si>
    <t>Unpatched internet-facing web server is exploited</t>
  </si>
  <si>
    <t>R-003</t>
  </si>
  <si>
    <t>Microsoft 365 account takeover through repeated failed logins</t>
  </si>
  <si>
    <t>R-004</t>
  </si>
  <si>
    <t>Malware infection spreads from employee laptops</t>
  </si>
  <si>
    <t>R-005</t>
  </si>
  <si>
    <t>Customer data is exposed through excessive CRM privileges</t>
  </si>
  <si>
    <t>R-006</t>
  </si>
  <si>
    <t>Sensitive HR records are accessed without authorization</t>
  </si>
  <si>
    <t>R-007</t>
  </si>
  <si>
    <t>Inventory operations are disrupted by outdated workstations</t>
  </si>
  <si>
    <t>Accepted</t>
  </si>
  <si>
    <t>R-008</t>
  </si>
  <si>
    <t>Online services are disrupted by web attacks</t>
  </si>
  <si>
    <t>R-009</t>
  </si>
  <si>
    <t>Customer support data is lost due to insufficient backups</t>
  </si>
  <si>
    <t>R-010</t>
  </si>
  <si>
    <t>VPN gateway compromise enables unauthorized remote access</t>
  </si>
  <si>
    <t>R-011</t>
  </si>
  <si>
    <t>Weak wireless device credentials allow internal network access</t>
  </si>
  <si>
    <t>R-012</t>
  </si>
  <si>
    <t>Delayed incident response increases business disruption</t>
  </si>
  <si>
    <t>Control Mapping</t>
  </si>
  <si>
    <t>mapping_id</t>
  </si>
  <si>
    <t>iso_control</t>
  </si>
  <si>
    <t>control_purpose</t>
  </si>
  <si>
    <t>recommendation</t>
  </si>
  <si>
    <t>priority</t>
  </si>
  <si>
    <t>M-001</t>
  </si>
  <si>
    <t>A.6.3 Awareness, education and training</t>
  </si>
  <si>
    <t>Reduce phishing success through staff awareness</t>
  </si>
  <si>
    <t>Run monthly phishing simulations and targeted Finance training</t>
  </si>
  <si>
    <t>M-002</t>
  </si>
  <si>
    <t>A.8.8 Management of technical vulnerabilities</t>
  </si>
  <si>
    <t>Reduce exposure from known vulnerabilities</t>
  </si>
  <si>
    <t>Patch internet-facing systems within seven days</t>
  </si>
  <si>
    <t>M-003</t>
  </si>
  <si>
    <t>A.8.5 Secure authentication</t>
  </si>
  <si>
    <t>Prevent account takeover</t>
  </si>
  <si>
    <t>Enforce MFA, account lockout, and login monitoring</t>
  </si>
  <si>
    <t>M-004</t>
  </si>
  <si>
    <t>A.8.7 Protection against malware</t>
  </si>
  <si>
    <t>Prevent and contain malware infections</t>
  </si>
  <si>
    <t>Maintain endpoint protection and isolate infected devices</t>
  </si>
  <si>
    <t>M-005</t>
  </si>
  <si>
    <t>A.5.18 Access rights</t>
  </si>
  <si>
    <t>Limit access to customer data</t>
  </si>
  <si>
    <t>Review CRM privileges quarterly and remove excessive access</t>
  </si>
  <si>
    <t>M-006</t>
  </si>
  <si>
    <t>A.5.15 Access control</t>
  </si>
  <si>
    <t>Restrict access to sensitive HR information</t>
  </si>
  <si>
    <t>Apply role-based access and review HR portal permissions</t>
  </si>
  <si>
    <t>M-007</t>
  </si>
  <si>
    <t>Reduce operational disruption from outdated systems</t>
  </si>
  <si>
    <t>Create a workstation patch schedule and replacement plan</t>
  </si>
  <si>
    <t>M-008</t>
  </si>
  <si>
    <t>A.8.20 Network security</t>
  </si>
  <si>
    <t>Protect online services from network-based attacks</t>
  </si>
  <si>
    <t>Deploy web application firewall rules and monitor attack traffic</t>
  </si>
  <si>
    <t>M-009</t>
  </si>
  <si>
    <t>A.8.13 Information backup</t>
  </si>
  <si>
    <t>Support recovery from data loss</t>
  </si>
  <si>
    <t>Test backups quarterly and define recovery targets</t>
  </si>
  <si>
    <t>M-010</t>
  </si>
  <si>
    <t>Protect remote access</t>
  </si>
  <si>
    <t>Enforce MFA and restrict VPN administrative access</t>
  </si>
  <si>
    <t>M-011</t>
  </si>
  <si>
    <t>A.8.21 Security of network services</t>
  </si>
  <si>
    <t>Protect internal network access</t>
  </si>
  <si>
    <t>Replace default credentials and segment wireless networks</t>
  </si>
  <si>
    <t>M-012</t>
  </si>
  <si>
    <t>A.5.24 Incident management planning and preparation</t>
  </si>
  <si>
    <t>Improve incident response performance</t>
  </si>
  <si>
    <t>Define response SLAs and conduct incident exercises</t>
  </si>
  <si>
    <t>Day 2 — Cybersecurity Risk Analytics Dataset Workbook</t>
  </si>
  <si>
    <t>Section</t>
  </si>
  <si>
    <t>Details</t>
  </si>
  <si>
    <t>Purpose</t>
  </si>
  <si>
    <t>Use this workbook as the source data for the Power BI dashboard. Each data sheet is structured as an Excel table.</t>
  </si>
  <si>
    <t>Contains 80 simulated security incidents from January to May 2026.</t>
  </si>
  <si>
    <t>Contains 45 vulnerability findings linked to assets by asset_id.</t>
  </si>
  <si>
    <t>Contains 15 business and technology assets.</t>
  </si>
  <si>
    <t>Contains 12 business risks. risk_score and risk_level are calculated with formulas.</t>
  </si>
  <si>
    <t>Maps each risk to a relevant ISO/IEC 27001:2022 Annex A control and recommendation.</t>
  </si>
  <si>
    <t>Rule 1</t>
  </si>
  <si>
    <t>Do not change ID formats. IDs are used to link tables.</t>
  </si>
  <si>
    <t>Rule 2</t>
  </si>
  <si>
    <t>Keep category spelling consistent, especially severity, status, department, and patch_status.</t>
  </si>
  <si>
    <t>Rule 3</t>
  </si>
  <si>
    <t>Blank resolution_time_hours is allowed only for open incidents.</t>
  </si>
  <si>
    <t>Rule 4</t>
  </si>
  <si>
    <t>CVSS severity should remain consistent: 9.0–10.0 Critical, 7.0–8.9 High, 4.0–6.9 Medium, below 4.0 Low.</t>
  </si>
  <si>
    <t>Next step</t>
  </si>
  <si>
    <t>Import the five data tables into Power BI and create relationships using asset_id and risk_id.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</si>
</sst>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0F243E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243E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3" fillId="4" borderId="0" xfId="0" applyFont="1" applyFill="1" applyAlignment="1">
      <alignment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identsTable" displayName="IncidentsTable" ref="A2:I82">
  <tableColumns count="9">
    <tableColumn id="1" xr3:uid="{00000000-0010-0000-0000-000001000000}" name="incident_id"/>
    <tableColumn id="2" xr3:uid="{00000000-0010-0000-0000-000002000000}" name="date"/>
    <tableColumn id="3" xr3:uid="{00000000-0010-0000-0000-000003000000}" name="incident_type"/>
    <tableColumn id="4" xr3:uid="{00000000-0010-0000-0000-000004000000}" name="severity"/>
    <tableColumn id="5" xr3:uid="{00000000-0010-0000-0000-000005000000}" name="department"/>
    <tableColumn id="6" xr3:uid="{00000000-0010-0000-0000-000006000000}" name="system"/>
    <tableColumn id="7" xr3:uid="{00000000-0010-0000-0000-000007000000}" name="status"/>
    <tableColumn id="8" xr3:uid="{00000000-0010-0000-0000-000008000000}" name="resolution_time_hours"/>
    <tableColumn id="9" xr3:uid="{00000000-0010-0000-0000-000009000000}" name="business_impac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ulnerabilitiesTable" displayName="VulnerabilitiesTable" ref="A2:I47">
  <tableColumns count="9">
    <tableColumn id="1" xr3:uid="{00000000-0010-0000-0100-000001000000}" name="vuln_id"/>
    <tableColumn id="2" xr3:uid="{00000000-0010-0000-0100-000002000000}" name="asset_id"/>
    <tableColumn id="3" xr3:uid="{00000000-0010-0000-0100-000003000000}" name="asset_name"/>
    <tableColumn id="4" xr3:uid="{00000000-0010-0000-0100-000004000000}" name="vulnerability"/>
    <tableColumn id="5" xr3:uid="{00000000-0010-0000-0100-000005000000}" name="cvss_score"/>
    <tableColumn id="6" xr3:uid="{00000000-0010-0000-0100-000006000000}" name="severity"/>
    <tableColumn id="7" xr3:uid="{00000000-0010-0000-0100-000007000000}" name="patch_status"/>
    <tableColumn id="8" xr3:uid="{00000000-0010-0000-0100-000008000000}" name="owner"/>
    <tableColumn id="9" xr3:uid="{00000000-0010-0000-0100-000009000000}" name="discovered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ssetsTable" displayName="AssetsTable" ref="A2:G17">
  <tableColumns count="7">
    <tableColumn id="1" xr3:uid="{00000000-0010-0000-0200-000001000000}" name="asset_id"/>
    <tableColumn id="2" xr3:uid="{00000000-0010-0000-0200-000002000000}" name="asset_name"/>
    <tableColumn id="3" xr3:uid="{00000000-0010-0000-0200-000003000000}" name="asset_type"/>
    <tableColumn id="4" xr3:uid="{00000000-0010-0000-0200-000004000000}" name="department"/>
    <tableColumn id="5" xr3:uid="{00000000-0010-0000-0200-000005000000}" name="criticality"/>
    <tableColumn id="6" xr3:uid="{00000000-0010-0000-0200-000006000000}" name="internet_facing"/>
    <tableColumn id="7" xr3:uid="{00000000-0010-0000-0200-000007000000}" name="own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RegisterTable" displayName="RiskRegisterTable" ref="A2:H14">
  <tableColumns count="8">
    <tableColumn id="1" xr3:uid="{00000000-0010-0000-0300-000001000000}" name="risk_id"/>
    <tableColumn id="2" xr3:uid="{00000000-0010-0000-0300-000002000000}" name="risk_description"/>
    <tableColumn id="3" xr3:uid="{00000000-0010-0000-0300-000003000000}" name="likelihood"/>
    <tableColumn id="4" xr3:uid="{00000000-0010-0000-0300-000004000000}" name="impact"/>
    <tableColumn id="5" xr3:uid="{00000000-0010-0000-0300-000005000000}" name="risk_score"/>
    <tableColumn id="6" xr3:uid="{00000000-0010-0000-0300-000006000000}" name="risk_level"/>
    <tableColumn id="7" xr3:uid="{00000000-0010-0000-0300-000007000000}" name="status"/>
    <tableColumn id="8" xr3:uid="{00000000-0010-0000-0300-000008000000}" name="depart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trolMappingTable" displayName="ControlMappingTable" ref="A2:F14">
  <tableColumns count="6">
    <tableColumn id="1" xr3:uid="{00000000-0010-0000-0400-000001000000}" name="mapping_id"/>
    <tableColumn id="2" xr3:uid="{00000000-0010-0000-0400-000002000000}" name="risk_id"/>
    <tableColumn id="3" xr3:uid="{00000000-0010-0000-0400-000003000000}" name="iso_control"/>
    <tableColumn id="4" xr3:uid="{00000000-0010-0000-0400-000004000000}" name="control_purpose"/>
    <tableColumn id="5" xr3:uid="{00000000-0010-0000-0400-000005000000}" name="recommendation"/>
    <tableColumn id="6" xr3:uid="{00000000-0010-0000-0400-000006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2"/>
  <sheetViews>
    <sheetView workbookViewId="0">
      <selection sqref="A1:XFD1048576"/>
    </sheetView>
  </sheetViews>
  <sheetFormatPr defaultRowHeight="13.8"/>
  <cols>
    <col min="1" max="2" width="12" customWidth="1"/>
    <col min="3" max="3" width="18" customWidth="1"/>
    <col min="4" max="4" width="12" customWidth="1"/>
    <col min="5" max="5" width="18" customWidth="1"/>
    <col min="6" max="6" width="24" customWidth="1"/>
    <col min="7" max="7" width="14" customWidth="1"/>
    <col min="8" max="8" width="20" customWidth="1"/>
    <col min="9" max="9" width="38" customWidth="1"/>
  </cols>
  <sheetData>
    <row r="1" spans="1:9" ht="21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7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2" t="s">
        <v>10</v>
      </c>
      <c r="B3" s="3">
        <v>46051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>
        <v>22</v>
      </c>
      <c r="I3" s="2" t="s">
        <v>16</v>
      </c>
    </row>
    <row r="4" spans="1:9">
      <c r="A4" s="2" t="s">
        <v>17</v>
      </c>
      <c r="B4" s="3">
        <v>46030</v>
      </c>
      <c r="C4" s="2" t="s">
        <v>11</v>
      </c>
      <c r="D4" s="2" t="s">
        <v>18</v>
      </c>
      <c r="E4" s="2" t="s">
        <v>13</v>
      </c>
      <c r="F4" s="2" t="s">
        <v>14</v>
      </c>
      <c r="G4" s="2" t="s">
        <v>15</v>
      </c>
      <c r="H4" s="2">
        <v>40</v>
      </c>
      <c r="I4" s="2" t="s">
        <v>16</v>
      </c>
    </row>
    <row r="5" spans="1:9">
      <c r="A5" s="2" t="s">
        <v>19</v>
      </c>
      <c r="B5" s="3">
        <v>46094</v>
      </c>
      <c r="C5" s="2" t="s">
        <v>20</v>
      </c>
      <c r="D5" s="2" t="s">
        <v>18</v>
      </c>
      <c r="E5" s="2" t="s">
        <v>21</v>
      </c>
      <c r="F5" s="2" t="s">
        <v>22</v>
      </c>
      <c r="G5" s="2" t="s">
        <v>15</v>
      </c>
      <c r="H5" s="2">
        <v>25</v>
      </c>
      <c r="I5" s="2" t="s">
        <v>23</v>
      </c>
    </row>
    <row r="6" spans="1:9">
      <c r="A6" s="2" t="s">
        <v>24</v>
      </c>
      <c r="B6" s="3">
        <v>46049</v>
      </c>
      <c r="C6" s="2" t="s">
        <v>11</v>
      </c>
      <c r="D6" s="2" t="s">
        <v>18</v>
      </c>
      <c r="E6" s="2" t="s">
        <v>21</v>
      </c>
      <c r="F6" s="2" t="s">
        <v>25</v>
      </c>
      <c r="G6" s="2" t="s">
        <v>15</v>
      </c>
      <c r="H6" s="2">
        <v>19</v>
      </c>
      <c r="I6" s="2" t="s">
        <v>16</v>
      </c>
    </row>
    <row r="7" spans="1:9">
      <c r="A7" s="2" t="s">
        <v>26</v>
      </c>
      <c r="B7" s="3">
        <v>46043</v>
      </c>
      <c r="C7" s="2" t="s">
        <v>27</v>
      </c>
      <c r="D7" s="2" t="s">
        <v>18</v>
      </c>
      <c r="E7" s="2" t="s">
        <v>28</v>
      </c>
      <c r="F7" s="2" t="s">
        <v>25</v>
      </c>
      <c r="G7" s="2" t="s">
        <v>15</v>
      </c>
      <c r="H7" s="2">
        <v>14</v>
      </c>
      <c r="I7" s="2" t="s">
        <v>29</v>
      </c>
    </row>
    <row r="8" spans="1:9">
      <c r="A8" s="2" t="s">
        <v>30</v>
      </c>
      <c r="B8" s="3">
        <v>46081</v>
      </c>
      <c r="C8" s="2" t="s">
        <v>20</v>
      </c>
      <c r="D8" s="2" t="s">
        <v>18</v>
      </c>
      <c r="E8" s="2" t="s">
        <v>31</v>
      </c>
      <c r="F8" s="2" t="s">
        <v>32</v>
      </c>
      <c r="G8" s="2" t="s">
        <v>15</v>
      </c>
      <c r="H8" s="2">
        <v>52</v>
      </c>
      <c r="I8" s="2" t="s">
        <v>23</v>
      </c>
    </row>
    <row r="9" spans="1:9">
      <c r="A9" s="2" t="s">
        <v>33</v>
      </c>
      <c r="B9" s="3">
        <v>46064</v>
      </c>
      <c r="C9" s="2" t="s">
        <v>34</v>
      </c>
      <c r="D9" s="2" t="s">
        <v>12</v>
      </c>
      <c r="E9" s="2" t="s">
        <v>13</v>
      </c>
      <c r="F9" s="2" t="s">
        <v>14</v>
      </c>
      <c r="G9" s="2" t="s">
        <v>15</v>
      </c>
      <c r="H9" s="2">
        <v>23</v>
      </c>
      <c r="I9" s="2" t="s">
        <v>35</v>
      </c>
    </row>
    <row r="10" spans="1:9">
      <c r="A10" s="2" t="s">
        <v>36</v>
      </c>
      <c r="B10" s="3">
        <v>46159</v>
      </c>
      <c r="C10" s="2" t="s">
        <v>20</v>
      </c>
      <c r="D10" s="2" t="s">
        <v>12</v>
      </c>
      <c r="E10" s="2" t="s">
        <v>21</v>
      </c>
      <c r="F10" s="2" t="s">
        <v>37</v>
      </c>
      <c r="G10" s="2" t="s">
        <v>15</v>
      </c>
      <c r="H10" s="2">
        <v>14</v>
      </c>
      <c r="I10" s="2" t="s">
        <v>23</v>
      </c>
    </row>
    <row r="11" spans="1:9" ht="27.6">
      <c r="A11" s="2" t="s">
        <v>38</v>
      </c>
      <c r="B11" s="3">
        <v>46081</v>
      </c>
      <c r="C11" s="2" t="s">
        <v>39</v>
      </c>
      <c r="D11" s="2" t="s">
        <v>12</v>
      </c>
      <c r="E11" s="2" t="s">
        <v>28</v>
      </c>
      <c r="F11" s="2" t="s">
        <v>25</v>
      </c>
      <c r="G11" s="2" t="s">
        <v>40</v>
      </c>
      <c r="H11" s="2"/>
      <c r="I11" s="2" t="s">
        <v>41</v>
      </c>
    </row>
    <row r="12" spans="1:9" ht="27.6">
      <c r="A12" s="2" t="s">
        <v>42</v>
      </c>
      <c r="B12" s="3">
        <v>46124</v>
      </c>
      <c r="C12" s="2" t="s">
        <v>43</v>
      </c>
      <c r="D12" s="2" t="s">
        <v>44</v>
      </c>
      <c r="E12" s="2" t="s">
        <v>45</v>
      </c>
      <c r="F12" s="2" t="s">
        <v>46</v>
      </c>
      <c r="G12" s="2" t="s">
        <v>40</v>
      </c>
      <c r="H12" s="2"/>
      <c r="I12" s="2" t="s">
        <v>47</v>
      </c>
    </row>
    <row r="13" spans="1:9" ht="27.6">
      <c r="A13" s="2" t="s">
        <v>48</v>
      </c>
      <c r="B13" s="3">
        <v>46079</v>
      </c>
      <c r="C13" s="2" t="s">
        <v>43</v>
      </c>
      <c r="D13" s="2" t="s">
        <v>12</v>
      </c>
      <c r="E13" s="2" t="s">
        <v>21</v>
      </c>
      <c r="F13" s="2" t="s">
        <v>25</v>
      </c>
      <c r="G13" s="2" t="s">
        <v>15</v>
      </c>
      <c r="H13" s="2">
        <v>24</v>
      </c>
      <c r="I13" s="2" t="s">
        <v>47</v>
      </c>
    </row>
    <row r="14" spans="1:9">
      <c r="A14" s="2" t="s">
        <v>49</v>
      </c>
      <c r="B14" s="3">
        <v>46131</v>
      </c>
      <c r="C14" s="2" t="s">
        <v>27</v>
      </c>
      <c r="D14" s="2" t="s">
        <v>18</v>
      </c>
      <c r="E14" s="2" t="s">
        <v>13</v>
      </c>
      <c r="F14" s="2" t="s">
        <v>50</v>
      </c>
      <c r="G14" s="2" t="s">
        <v>15</v>
      </c>
      <c r="H14" s="2">
        <v>55</v>
      </c>
      <c r="I14" s="2" t="s">
        <v>29</v>
      </c>
    </row>
    <row r="15" spans="1:9">
      <c r="A15" s="2" t="s">
        <v>51</v>
      </c>
      <c r="B15" s="3">
        <v>46091</v>
      </c>
      <c r="C15" s="2" t="s">
        <v>20</v>
      </c>
      <c r="D15" s="2" t="s">
        <v>12</v>
      </c>
      <c r="E15" s="2" t="s">
        <v>13</v>
      </c>
      <c r="F15" s="2" t="s">
        <v>25</v>
      </c>
      <c r="G15" s="2" t="s">
        <v>40</v>
      </c>
      <c r="H15" s="2"/>
      <c r="I15" s="2" t="s">
        <v>23</v>
      </c>
    </row>
    <row r="16" spans="1:9" ht="27.6">
      <c r="A16" s="2" t="s">
        <v>52</v>
      </c>
      <c r="B16" s="3">
        <v>46152</v>
      </c>
      <c r="C16" s="2" t="s">
        <v>43</v>
      </c>
      <c r="D16" s="2" t="s">
        <v>12</v>
      </c>
      <c r="E16" s="2" t="s">
        <v>31</v>
      </c>
      <c r="F16" s="2" t="s">
        <v>25</v>
      </c>
      <c r="G16" s="2" t="s">
        <v>15</v>
      </c>
      <c r="H16" s="2">
        <v>8</v>
      </c>
      <c r="I16" s="2" t="s">
        <v>47</v>
      </c>
    </row>
    <row r="17" spans="1:9" ht="27.6">
      <c r="A17" s="2" t="s">
        <v>53</v>
      </c>
      <c r="B17" s="3">
        <v>46161</v>
      </c>
      <c r="C17" s="2" t="s">
        <v>43</v>
      </c>
      <c r="D17" s="2" t="s">
        <v>54</v>
      </c>
      <c r="E17" s="2" t="s">
        <v>31</v>
      </c>
      <c r="F17" s="2" t="s">
        <v>32</v>
      </c>
      <c r="G17" s="2" t="s">
        <v>15</v>
      </c>
      <c r="H17" s="2">
        <v>70</v>
      </c>
      <c r="I17" s="2" t="s">
        <v>47</v>
      </c>
    </row>
    <row r="18" spans="1:9">
      <c r="A18" s="2" t="s">
        <v>55</v>
      </c>
      <c r="B18" s="3">
        <v>46101</v>
      </c>
      <c r="C18" s="2" t="s">
        <v>11</v>
      </c>
      <c r="D18" s="2" t="s">
        <v>18</v>
      </c>
      <c r="E18" s="2" t="s">
        <v>13</v>
      </c>
      <c r="F18" s="2" t="s">
        <v>14</v>
      </c>
      <c r="G18" s="2" t="s">
        <v>40</v>
      </c>
      <c r="H18" s="2"/>
      <c r="I18" s="2" t="s">
        <v>16</v>
      </c>
    </row>
    <row r="19" spans="1:9">
      <c r="A19" s="2" t="s">
        <v>56</v>
      </c>
      <c r="B19" s="3">
        <v>46055</v>
      </c>
      <c r="C19" s="2" t="s">
        <v>11</v>
      </c>
      <c r="D19" s="2" t="s">
        <v>12</v>
      </c>
      <c r="E19" s="2" t="s">
        <v>57</v>
      </c>
      <c r="F19" s="2" t="s">
        <v>58</v>
      </c>
      <c r="G19" s="2" t="s">
        <v>59</v>
      </c>
      <c r="H19" s="2">
        <v>6</v>
      </c>
      <c r="I19" s="2" t="s">
        <v>16</v>
      </c>
    </row>
    <row r="20" spans="1:9">
      <c r="A20" s="2" t="s">
        <v>60</v>
      </c>
      <c r="B20" s="3">
        <v>46074</v>
      </c>
      <c r="C20" s="2" t="s">
        <v>20</v>
      </c>
      <c r="D20" s="2" t="s">
        <v>18</v>
      </c>
      <c r="E20" s="2" t="s">
        <v>13</v>
      </c>
      <c r="F20" s="2" t="s">
        <v>14</v>
      </c>
      <c r="G20" s="2" t="s">
        <v>59</v>
      </c>
      <c r="H20" s="2">
        <v>16</v>
      </c>
      <c r="I20" s="2" t="s">
        <v>23</v>
      </c>
    </row>
    <row r="21" spans="1:9">
      <c r="A21" s="2" t="s">
        <v>61</v>
      </c>
      <c r="B21" s="3">
        <v>46039</v>
      </c>
      <c r="C21" s="2" t="s">
        <v>34</v>
      </c>
      <c r="D21" s="2" t="s">
        <v>12</v>
      </c>
      <c r="E21" s="2" t="s">
        <v>45</v>
      </c>
      <c r="F21" s="2" t="s">
        <v>62</v>
      </c>
      <c r="G21" s="2" t="s">
        <v>59</v>
      </c>
      <c r="H21" s="2">
        <v>6</v>
      </c>
      <c r="I21" s="2" t="s">
        <v>35</v>
      </c>
    </row>
    <row r="22" spans="1:9">
      <c r="A22" s="2" t="s">
        <v>63</v>
      </c>
      <c r="B22" s="3">
        <v>46107</v>
      </c>
      <c r="C22" s="2" t="s">
        <v>11</v>
      </c>
      <c r="D22" s="2" t="s">
        <v>18</v>
      </c>
      <c r="E22" s="2" t="s">
        <v>13</v>
      </c>
      <c r="F22" s="2" t="s">
        <v>25</v>
      </c>
      <c r="G22" s="2" t="s">
        <v>59</v>
      </c>
      <c r="H22" s="2">
        <v>37</v>
      </c>
      <c r="I22" s="2" t="s">
        <v>16</v>
      </c>
    </row>
    <row r="23" spans="1:9">
      <c r="A23" s="2" t="s">
        <v>64</v>
      </c>
      <c r="B23" s="3">
        <v>46127</v>
      </c>
      <c r="C23" s="2" t="s">
        <v>11</v>
      </c>
      <c r="D23" s="2" t="s">
        <v>12</v>
      </c>
      <c r="E23" s="2" t="s">
        <v>21</v>
      </c>
      <c r="F23" s="2" t="s">
        <v>22</v>
      </c>
      <c r="G23" s="2" t="s">
        <v>15</v>
      </c>
      <c r="H23" s="2">
        <v>24</v>
      </c>
      <c r="I23" s="2" t="s">
        <v>16</v>
      </c>
    </row>
    <row r="24" spans="1:9">
      <c r="A24" s="2" t="s">
        <v>65</v>
      </c>
      <c r="B24" s="3">
        <v>46038</v>
      </c>
      <c r="C24" s="2" t="s">
        <v>34</v>
      </c>
      <c r="D24" s="2" t="s">
        <v>18</v>
      </c>
      <c r="E24" s="2" t="s">
        <v>13</v>
      </c>
      <c r="F24" s="2" t="s">
        <v>25</v>
      </c>
      <c r="G24" s="2" t="s">
        <v>59</v>
      </c>
      <c r="H24" s="2">
        <v>23</v>
      </c>
      <c r="I24" s="2" t="s">
        <v>35</v>
      </c>
    </row>
    <row r="25" spans="1:9">
      <c r="A25" s="2" t="s">
        <v>66</v>
      </c>
      <c r="B25" s="3">
        <v>46094</v>
      </c>
      <c r="C25" s="2" t="s">
        <v>34</v>
      </c>
      <c r="D25" s="2" t="s">
        <v>44</v>
      </c>
      <c r="E25" s="2" t="s">
        <v>31</v>
      </c>
      <c r="F25" s="2" t="s">
        <v>25</v>
      </c>
      <c r="G25" s="2" t="s">
        <v>15</v>
      </c>
      <c r="H25" s="2">
        <v>2</v>
      </c>
      <c r="I25" s="2" t="s">
        <v>35</v>
      </c>
    </row>
    <row r="26" spans="1:9" ht="27.6">
      <c r="A26" s="2" t="s">
        <v>67</v>
      </c>
      <c r="B26" s="3">
        <v>46026</v>
      </c>
      <c r="C26" s="2" t="s">
        <v>43</v>
      </c>
      <c r="D26" s="2" t="s">
        <v>18</v>
      </c>
      <c r="E26" s="2" t="s">
        <v>31</v>
      </c>
      <c r="F26" s="2" t="s">
        <v>32</v>
      </c>
      <c r="G26" s="2" t="s">
        <v>40</v>
      </c>
      <c r="H26" s="2"/>
      <c r="I26" s="2" t="s">
        <v>47</v>
      </c>
    </row>
    <row r="27" spans="1:9">
      <c r="A27" s="2" t="s">
        <v>68</v>
      </c>
      <c r="B27" s="3">
        <v>46038</v>
      </c>
      <c r="C27" s="2" t="s">
        <v>11</v>
      </c>
      <c r="D27" s="2" t="s">
        <v>12</v>
      </c>
      <c r="E27" s="2" t="s">
        <v>21</v>
      </c>
      <c r="F27" s="2" t="s">
        <v>22</v>
      </c>
      <c r="G27" s="2" t="s">
        <v>15</v>
      </c>
      <c r="H27" s="2">
        <v>17</v>
      </c>
      <c r="I27" s="2" t="s">
        <v>16</v>
      </c>
    </row>
    <row r="28" spans="1:9">
      <c r="A28" s="2" t="s">
        <v>69</v>
      </c>
      <c r="B28" s="3">
        <v>46165</v>
      </c>
      <c r="C28" s="2" t="s">
        <v>27</v>
      </c>
      <c r="D28" s="2" t="s">
        <v>12</v>
      </c>
      <c r="E28" s="2" t="s">
        <v>57</v>
      </c>
      <c r="F28" s="2" t="s">
        <v>25</v>
      </c>
      <c r="G28" s="2" t="s">
        <v>59</v>
      </c>
      <c r="H28" s="2">
        <v>8</v>
      </c>
      <c r="I28" s="2" t="s">
        <v>29</v>
      </c>
    </row>
    <row r="29" spans="1:9">
      <c r="A29" s="2" t="s">
        <v>70</v>
      </c>
      <c r="B29" s="3">
        <v>46172</v>
      </c>
      <c r="C29" s="2" t="s">
        <v>34</v>
      </c>
      <c r="D29" s="2" t="s">
        <v>12</v>
      </c>
      <c r="E29" s="2" t="s">
        <v>31</v>
      </c>
      <c r="F29" s="2" t="s">
        <v>25</v>
      </c>
      <c r="G29" s="2" t="s">
        <v>40</v>
      </c>
      <c r="H29" s="2"/>
      <c r="I29" s="2" t="s">
        <v>35</v>
      </c>
    </row>
    <row r="30" spans="1:9">
      <c r="A30" s="2" t="s">
        <v>71</v>
      </c>
      <c r="B30" s="3">
        <v>46040</v>
      </c>
      <c r="C30" s="2" t="s">
        <v>27</v>
      </c>
      <c r="D30" s="2" t="s">
        <v>44</v>
      </c>
      <c r="E30" s="2" t="s">
        <v>13</v>
      </c>
      <c r="F30" s="2" t="s">
        <v>25</v>
      </c>
      <c r="G30" s="2" t="s">
        <v>15</v>
      </c>
      <c r="H30" s="2">
        <v>1</v>
      </c>
      <c r="I30" s="2" t="s">
        <v>29</v>
      </c>
    </row>
    <row r="31" spans="1:9">
      <c r="A31" s="2" t="s">
        <v>72</v>
      </c>
      <c r="B31" s="3">
        <v>46172</v>
      </c>
      <c r="C31" s="2" t="s">
        <v>27</v>
      </c>
      <c r="D31" s="2" t="s">
        <v>12</v>
      </c>
      <c r="E31" s="2" t="s">
        <v>13</v>
      </c>
      <c r="F31" s="2" t="s">
        <v>50</v>
      </c>
      <c r="G31" s="2" t="s">
        <v>15</v>
      </c>
      <c r="H31" s="2">
        <v>12</v>
      </c>
      <c r="I31" s="2" t="s">
        <v>29</v>
      </c>
    </row>
    <row r="32" spans="1:9">
      <c r="A32" s="2" t="s">
        <v>73</v>
      </c>
      <c r="B32" s="3">
        <v>46099</v>
      </c>
      <c r="C32" s="2" t="s">
        <v>34</v>
      </c>
      <c r="D32" s="2" t="s">
        <v>54</v>
      </c>
      <c r="E32" s="2" t="s">
        <v>31</v>
      </c>
      <c r="F32" s="2" t="s">
        <v>25</v>
      </c>
      <c r="G32" s="2" t="s">
        <v>40</v>
      </c>
      <c r="H32" s="2"/>
      <c r="I32" s="2" t="s">
        <v>35</v>
      </c>
    </row>
    <row r="33" spans="1:9">
      <c r="A33" s="2" t="s">
        <v>74</v>
      </c>
      <c r="B33" s="3">
        <v>46152</v>
      </c>
      <c r="C33" s="2" t="s">
        <v>34</v>
      </c>
      <c r="D33" s="2" t="s">
        <v>54</v>
      </c>
      <c r="E33" s="2" t="s">
        <v>31</v>
      </c>
      <c r="F33" s="2" t="s">
        <v>32</v>
      </c>
      <c r="G33" s="2" t="s">
        <v>15</v>
      </c>
      <c r="H33" s="2">
        <v>93</v>
      </c>
      <c r="I33" s="2" t="s">
        <v>35</v>
      </c>
    </row>
    <row r="34" spans="1:9">
      <c r="A34" s="2" t="s">
        <v>75</v>
      </c>
      <c r="B34" s="3">
        <v>46100</v>
      </c>
      <c r="C34" s="2" t="s">
        <v>27</v>
      </c>
      <c r="D34" s="2" t="s">
        <v>18</v>
      </c>
      <c r="E34" s="2" t="s">
        <v>31</v>
      </c>
      <c r="F34" s="2" t="s">
        <v>25</v>
      </c>
      <c r="G34" s="2" t="s">
        <v>40</v>
      </c>
      <c r="H34" s="2"/>
      <c r="I34" s="2" t="s">
        <v>29</v>
      </c>
    </row>
    <row r="35" spans="1:9">
      <c r="A35" s="2" t="s">
        <v>76</v>
      </c>
      <c r="B35" s="3">
        <v>46090</v>
      </c>
      <c r="C35" s="2" t="s">
        <v>11</v>
      </c>
      <c r="D35" s="2" t="s">
        <v>12</v>
      </c>
      <c r="E35" s="2" t="s">
        <v>21</v>
      </c>
      <c r="F35" s="2" t="s">
        <v>37</v>
      </c>
      <c r="G35" s="2" t="s">
        <v>59</v>
      </c>
      <c r="H35" s="2">
        <v>8</v>
      </c>
      <c r="I35" s="2" t="s">
        <v>16</v>
      </c>
    </row>
    <row r="36" spans="1:9">
      <c r="A36" s="2" t="s">
        <v>77</v>
      </c>
      <c r="B36" s="3">
        <v>46090</v>
      </c>
      <c r="C36" s="2" t="s">
        <v>34</v>
      </c>
      <c r="D36" s="2" t="s">
        <v>54</v>
      </c>
      <c r="E36" s="2" t="s">
        <v>13</v>
      </c>
      <c r="F36" s="2" t="s">
        <v>14</v>
      </c>
      <c r="G36" s="2" t="s">
        <v>40</v>
      </c>
      <c r="H36" s="2"/>
      <c r="I36" s="2" t="s">
        <v>35</v>
      </c>
    </row>
    <row r="37" spans="1:9">
      <c r="A37" s="2" t="s">
        <v>78</v>
      </c>
      <c r="B37" s="3">
        <v>46108</v>
      </c>
      <c r="C37" s="2" t="s">
        <v>20</v>
      </c>
      <c r="D37" s="2" t="s">
        <v>12</v>
      </c>
      <c r="E37" s="2" t="s">
        <v>45</v>
      </c>
      <c r="F37" s="2" t="s">
        <v>79</v>
      </c>
      <c r="G37" s="2" t="s">
        <v>15</v>
      </c>
      <c r="H37" s="2">
        <v>7</v>
      </c>
      <c r="I37" s="2" t="s">
        <v>23</v>
      </c>
    </row>
    <row r="38" spans="1:9">
      <c r="A38" s="2" t="s">
        <v>80</v>
      </c>
      <c r="B38" s="3">
        <v>46061</v>
      </c>
      <c r="C38" s="2" t="s">
        <v>27</v>
      </c>
      <c r="D38" s="2" t="s">
        <v>18</v>
      </c>
      <c r="E38" s="2" t="s">
        <v>28</v>
      </c>
      <c r="F38" s="2" t="s">
        <v>81</v>
      </c>
      <c r="G38" s="2" t="s">
        <v>40</v>
      </c>
      <c r="H38" s="2"/>
      <c r="I38" s="2" t="s">
        <v>29</v>
      </c>
    </row>
    <row r="39" spans="1:9">
      <c r="A39" s="2" t="s">
        <v>82</v>
      </c>
      <c r="B39" s="3">
        <v>46114</v>
      </c>
      <c r="C39" s="2" t="s">
        <v>11</v>
      </c>
      <c r="D39" s="2" t="s">
        <v>44</v>
      </c>
      <c r="E39" s="2" t="s">
        <v>13</v>
      </c>
      <c r="F39" s="2" t="s">
        <v>50</v>
      </c>
      <c r="G39" s="2" t="s">
        <v>15</v>
      </c>
      <c r="H39" s="2">
        <v>3</v>
      </c>
      <c r="I39" s="2" t="s">
        <v>16</v>
      </c>
    </row>
    <row r="40" spans="1:9" ht="27.6">
      <c r="A40" s="2" t="s">
        <v>83</v>
      </c>
      <c r="B40" s="3">
        <v>46068</v>
      </c>
      <c r="C40" s="2" t="s">
        <v>43</v>
      </c>
      <c r="D40" s="2" t="s">
        <v>18</v>
      </c>
      <c r="E40" s="2" t="s">
        <v>21</v>
      </c>
      <c r="F40" s="2" t="s">
        <v>22</v>
      </c>
      <c r="G40" s="2" t="s">
        <v>59</v>
      </c>
      <c r="H40" s="2">
        <v>13</v>
      </c>
      <c r="I40" s="2" t="s">
        <v>47</v>
      </c>
    </row>
    <row r="41" spans="1:9">
      <c r="A41" s="2" t="s">
        <v>84</v>
      </c>
      <c r="B41" s="3">
        <v>46050</v>
      </c>
      <c r="C41" s="2" t="s">
        <v>34</v>
      </c>
      <c r="D41" s="2" t="s">
        <v>12</v>
      </c>
      <c r="E41" s="2" t="s">
        <v>21</v>
      </c>
      <c r="F41" s="2" t="s">
        <v>22</v>
      </c>
      <c r="G41" s="2" t="s">
        <v>59</v>
      </c>
      <c r="H41" s="2">
        <v>7</v>
      </c>
      <c r="I41" s="2" t="s">
        <v>35</v>
      </c>
    </row>
    <row r="42" spans="1:9">
      <c r="A42" s="2" t="s">
        <v>85</v>
      </c>
      <c r="B42" s="3">
        <v>46080</v>
      </c>
      <c r="C42" s="2" t="s">
        <v>11</v>
      </c>
      <c r="D42" s="2" t="s">
        <v>12</v>
      </c>
      <c r="E42" s="2" t="s">
        <v>13</v>
      </c>
      <c r="F42" s="2" t="s">
        <v>50</v>
      </c>
      <c r="G42" s="2" t="s">
        <v>15</v>
      </c>
      <c r="H42" s="2">
        <v>24</v>
      </c>
      <c r="I42" s="2" t="s">
        <v>16</v>
      </c>
    </row>
    <row r="43" spans="1:9">
      <c r="A43" s="2" t="s">
        <v>86</v>
      </c>
      <c r="B43" s="3">
        <v>46160</v>
      </c>
      <c r="C43" s="2" t="s">
        <v>34</v>
      </c>
      <c r="D43" s="2" t="s">
        <v>54</v>
      </c>
      <c r="E43" s="2" t="s">
        <v>21</v>
      </c>
      <c r="F43" s="2" t="s">
        <v>37</v>
      </c>
      <c r="G43" s="2" t="s">
        <v>59</v>
      </c>
      <c r="H43" s="2">
        <v>60</v>
      </c>
      <c r="I43" s="2" t="s">
        <v>35</v>
      </c>
    </row>
    <row r="44" spans="1:9">
      <c r="A44" s="2" t="s">
        <v>87</v>
      </c>
      <c r="B44" s="3">
        <v>46134</v>
      </c>
      <c r="C44" s="2" t="s">
        <v>34</v>
      </c>
      <c r="D44" s="2" t="s">
        <v>12</v>
      </c>
      <c r="E44" s="2" t="s">
        <v>28</v>
      </c>
      <c r="F44" s="2" t="s">
        <v>81</v>
      </c>
      <c r="G44" s="2" t="s">
        <v>15</v>
      </c>
      <c r="H44" s="2">
        <v>22</v>
      </c>
      <c r="I44" s="2" t="s">
        <v>35</v>
      </c>
    </row>
    <row r="45" spans="1:9">
      <c r="A45" s="2" t="s">
        <v>88</v>
      </c>
      <c r="B45" s="3">
        <v>46034</v>
      </c>
      <c r="C45" s="2" t="s">
        <v>20</v>
      </c>
      <c r="D45" s="2" t="s">
        <v>54</v>
      </c>
      <c r="E45" s="2" t="s">
        <v>21</v>
      </c>
      <c r="F45" s="2" t="s">
        <v>37</v>
      </c>
      <c r="G45" s="2" t="s">
        <v>15</v>
      </c>
      <c r="H45" s="2">
        <v>32</v>
      </c>
      <c r="I45" s="2" t="s">
        <v>23</v>
      </c>
    </row>
    <row r="46" spans="1:9">
      <c r="A46" s="2" t="s">
        <v>89</v>
      </c>
      <c r="B46" s="3">
        <v>46107</v>
      </c>
      <c r="C46" s="2" t="s">
        <v>27</v>
      </c>
      <c r="D46" s="2" t="s">
        <v>44</v>
      </c>
      <c r="E46" s="2" t="s">
        <v>45</v>
      </c>
      <c r="F46" s="2" t="s">
        <v>46</v>
      </c>
      <c r="G46" s="2" t="s">
        <v>15</v>
      </c>
      <c r="H46" s="2">
        <v>7</v>
      </c>
      <c r="I46" s="2" t="s">
        <v>29</v>
      </c>
    </row>
    <row r="47" spans="1:9">
      <c r="A47" s="2" t="s">
        <v>90</v>
      </c>
      <c r="B47" s="3">
        <v>46098</v>
      </c>
      <c r="C47" s="2" t="s">
        <v>27</v>
      </c>
      <c r="D47" s="2" t="s">
        <v>18</v>
      </c>
      <c r="E47" s="2" t="s">
        <v>13</v>
      </c>
      <c r="F47" s="2" t="s">
        <v>14</v>
      </c>
      <c r="G47" s="2" t="s">
        <v>59</v>
      </c>
      <c r="H47" s="2">
        <v>28</v>
      </c>
      <c r="I47" s="2" t="s">
        <v>29</v>
      </c>
    </row>
    <row r="48" spans="1:9">
      <c r="A48" s="2" t="s">
        <v>91</v>
      </c>
      <c r="B48" s="3">
        <v>46126</v>
      </c>
      <c r="C48" s="2" t="s">
        <v>27</v>
      </c>
      <c r="D48" s="2" t="s">
        <v>12</v>
      </c>
      <c r="E48" s="2" t="s">
        <v>21</v>
      </c>
      <c r="F48" s="2" t="s">
        <v>37</v>
      </c>
      <c r="G48" s="2" t="s">
        <v>15</v>
      </c>
      <c r="H48" s="2">
        <v>18</v>
      </c>
      <c r="I48" s="2" t="s">
        <v>29</v>
      </c>
    </row>
    <row r="49" spans="1:9">
      <c r="A49" s="2" t="s">
        <v>92</v>
      </c>
      <c r="B49" s="3">
        <v>46077</v>
      </c>
      <c r="C49" s="2" t="s">
        <v>27</v>
      </c>
      <c r="D49" s="2" t="s">
        <v>54</v>
      </c>
      <c r="E49" s="2" t="s">
        <v>28</v>
      </c>
      <c r="F49" s="2" t="s">
        <v>25</v>
      </c>
      <c r="G49" s="2" t="s">
        <v>15</v>
      </c>
      <c r="H49" s="2">
        <v>108</v>
      </c>
      <c r="I49" s="2" t="s">
        <v>29</v>
      </c>
    </row>
    <row r="50" spans="1:9">
      <c r="A50" s="2" t="s">
        <v>93</v>
      </c>
      <c r="B50" s="3">
        <v>46108</v>
      </c>
      <c r="C50" s="2" t="s">
        <v>11</v>
      </c>
      <c r="D50" s="2" t="s">
        <v>12</v>
      </c>
      <c r="E50" s="2" t="s">
        <v>31</v>
      </c>
      <c r="F50" s="2" t="s">
        <v>94</v>
      </c>
      <c r="G50" s="2" t="s">
        <v>59</v>
      </c>
      <c r="H50" s="2">
        <v>2</v>
      </c>
      <c r="I50" s="2" t="s">
        <v>16</v>
      </c>
    </row>
    <row r="51" spans="1:9">
      <c r="A51" s="2" t="s">
        <v>95</v>
      </c>
      <c r="B51" s="3">
        <v>46144</v>
      </c>
      <c r="C51" s="2" t="s">
        <v>27</v>
      </c>
      <c r="D51" s="2" t="s">
        <v>12</v>
      </c>
      <c r="E51" s="2" t="s">
        <v>28</v>
      </c>
      <c r="F51" s="2" t="s">
        <v>25</v>
      </c>
      <c r="G51" s="2" t="s">
        <v>15</v>
      </c>
      <c r="H51" s="2">
        <v>16</v>
      </c>
      <c r="I51" s="2" t="s">
        <v>29</v>
      </c>
    </row>
    <row r="52" spans="1:9">
      <c r="A52" s="2" t="s">
        <v>96</v>
      </c>
      <c r="B52" s="3">
        <v>46085</v>
      </c>
      <c r="C52" s="2" t="s">
        <v>11</v>
      </c>
      <c r="D52" s="2" t="s">
        <v>54</v>
      </c>
      <c r="E52" s="2" t="s">
        <v>45</v>
      </c>
      <c r="F52" s="2" t="s">
        <v>62</v>
      </c>
      <c r="G52" s="2" t="s">
        <v>15</v>
      </c>
      <c r="H52" s="2">
        <v>113</v>
      </c>
      <c r="I52" s="2" t="s">
        <v>16</v>
      </c>
    </row>
    <row r="53" spans="1:9">
      <c r="A53" s="2" t="s">
        <v>97</v>
      </c>
      <c r="B53" s="3">
        <v>46155</v>
      </c>
      <c r="C53" s="2" t="s">
        <v>34</v>
      </c>
      <c r="D53" s="2" t="s">
        <v>54</v>
      </c>
      <c r="E53" s="2" t="s">
        <v>45</v>
      </c>
      <c r="F53" s="2" t="s">
        <v>25</v>
      </c>
      <c r="G53" s="2" t="s">
        <v>40</v>
      </c>
      <c r="H53" s="2"/>
      <c r="I53" s="2" t="s">
        <v>35</v>
      </c>
    </row>
    <row r="54" spans="1:9" ht="27.6">
      <c r="A54" s="2" t="s">
        <v>98</v>
      </c>
      <c r="B54" s="3">
        <v>46104</v>
      </c>
      <c r="C54" s="2" t="s">
        <v>43</v>
      </c>
      <c r="D54" s="2" t="s">
        <v>18</v>
      </c>
      <c r="E54" s="2" t="s">
        <v>31</v>
      </c>
      <c r="F54" s="2" t="s">
        <v>25</v>
      </c>
      <c r="G54" s="2" t="s">
        <v>15</v>
      </c>
      <c r="H54" s="2">
        <v>40</v>
      </c>
      <c r="I54" s="2" t="s">
        <v>47</v>
      </c>
    </row>
    <row r="55" spans="1:9">
      <c r="A55" s="2" t="s">
        <v>99</v>
      </c>
      <c r="B55" s="3">
        <v>46144</v>
      </c>
      <c r="C55" s="2" t="s">
        <v>34</v>
      </c>
      <c r="D55" s="2" t="s">
        <v>18</v>
      </c>
      <c r="E55" s="2" t="s">
        <v>28</v>
      </c>
      <c r="F55" s="2" t="s">
        <v>25</v>
      </c>
      <c r="G55" s="2" t="s">
        <v>59</v>
      </c>
      <c r="H55" s="2">
        <v>16</v>
      </c>
      <c r="I55" s="2" t="s">
        <v>35</v>
      </c>
    </row>
    <row r="56" spans="1:9">
      <c r="A56" s="2" t="s">
        <v>100</v>
      </c>
      <c r="B56" s="3">
        <v>46135</v>
      </c>
      <c r="C56" s="2" t="s">
        <v>11</v>
      </c>
      <c r="D56" s="2" t="s">
        <v>12</v>
      </c>
      <c r="E56" s="2" t="s">
        <v>13</v>
      </c>
      <c r="F56" s="2" t="s">
        <v>14</v>
      </c>
      <c r="G56" s="2" t="s">
        <v>59</v>
      </c>
      <c r="H56" s="2">
        <v>4</v>
      </c>
      <c r="I56" s="2" t="s">
        <v>16</v>
      </c>
    </row>
    <row r="57" spans="1:9">
      <c r="A57" s="2" t="s">
        <v>101</v>
      </c>
      <c r="B57" s="3">
        <v>46121</v>
      </c>
      <c r="C57" s="2" t="s">
        <v>20</v>
      </c>
      <c r="D57" s="2" t="s">
        <v>44</v>
      </c>
      <c r="E57" s="2" t="s">
        <v>28</v>
      </c>
      <c r="F57" s="2" t="s">
        <v>25</v>
      </c>
      <c r="G57" s="2" t="s">
        <v>15</v>
      </c>
      <c r="H57" s="2">
        <v>8</v>
      </c>
      <c r="I57" s="2" t="s">
        <v>23</v>
      </c>
    </row>
    <row r="58" spans="1:9">
      <c r="A58" s="2" t="s">
        <v>102</v>
      </c>
      <c r="B58" s="3">
        <v>46130</v>
      </c>
      <c r="C58" s="2" t="s">
        <v>34</v>
      </c>
      <c r="D58" s="2" t="s">
        <v>54</v>
      </c>
      <c r="E58" s="2" t="s">
        <v>28</v>
      </c>
      <c r="F58" s="2" t="s">
        <v>25</v>
      </c>
      <c r="G58" s="2" t="s">
        <v>40</v>
      </c>
      <c r="H58" s="2"/>
      <c r="I58" s="2" t="s">
        <v>35</v>
      </c>
    </row>
    <row r="59" spans="1:9">
      <c r="A59" s="2" t="s">
        <v>103</v>
      </c>
      <c r="B59" s="3">
        <v>46099</v>
      </c>
      <c r="C59" s="2" t="s">
        <v>20</v>
      </c>
      <c r="D59" s="2" t="s">
        <v>54</v>
      </c>
      <c r="E59" s="2" t="s">
        <v>28</v>
      </c>
      <c r="F59" s="2" t="s">
        <v>25</v>
      </c>
      <c r="G59" s="2" t="s">
        <v>15</v>
      </c>
      <c r="H59" s="2">
        <v>58</v>
      </c>
      <c r="I59" s="2" t="s">
        <v>23</v>
      </c>
    </row>
    <row r="60" spans="1:9">
      <c r="A60" s="2" t="s">
        <v>104</v>
      </c>
      <c r="B60" s="3">
        <v>46134</v>
      </c>
      <c r="C60" s="2" t="s">
        <v>34</v>
      </c>
      <c r="D60" s="2" t="s">
        <v>18</v>
      </c>
      <c r="E60" s="2" t="s">
        <v>13</v>
      </c>
      <c r="F60" s="2" t="s">
        <v>14</v>
      </c>
      <c r="G60" s="2" t="s">
        <v>15</v>
      </c>
      <c r="H60" s="2">
        <v>70</v>
      </c>
      <c r="I60" s="2" t="s">
        <v>35</v>
      </c>
    </row>
    <row r="61" spans="1:9">
      <c r="A61" s="2" t="s">
        <v>105</v>
      </c>
      <c r="B61" s="3">
        <v>46159</v>
      </c>
      <c r="C61" s="2" t="s">
        <v>11</v>
      </c>
      <c r="D61" s="2" t="s">
        <v>18</v>
      </c>
      <c r="E61" s="2" t="s">
        <v>13</v>
      </c>
      <c r="F61" s="2" t="s">
        <v>14</v>
      </c>
      <c r="G61" s="2" t="s">
        <v>40</v>
      </c>
      <c r="H61" s="2"/>
      <c r="I61" s="2" t="s">
        <v>16</v>
      </c>
    </row>
    <row r="62" spans="1:9">
      <c r="A62" s="2" t="s">
        <v>106</v>
      </c>
      <c r="B62" s="3">
        <v>46069</v>
      </c>
      <c r="C62" s="2" t="s">
        <v>11</v>
      </c>
      <c r="D62" s="2" t="s">
        <v>12</v>
      </c>
      <c r="E62" s="2" t="s">
        <v>13</v>
      </c>
      <c r="F62" s="2" t="s">
        <v>50</v>
      </c>
      <c r="G62" s="2" t="s">
        <v>59</v>
      </c>
      <c r="H62" s="2">
        <v>10</v>
      </c>
      <c r="I62" s="2" t="s">
        <v>16</v>
      </c>
    </row>
    <row r="63" spans="1:9">
      <c r="A63" s="2" t="s">
        <v>107</v>
      </c>
      <c r="B63" s="3">
        <v>46143</v>
      </c>
      <c r="C63" s="2" t="s">
        <v>11</v>
      </c>
      <c r="D63" s="2" t="s">
        <v>54</v>
      </c>
      <c r="E63" s="2" t="s">
        <v>45</v>
      </c>
      <c r="F63" s="2" t="s">
        <v>62</v>
      </c>
      <c r="G63" s="2" t="s">
        <v>59</v>
      </c>
      <c r="H63" s="2">
        <v>33</v>
      </c>
      <c r="I63" s="2" t="s">
        <v>16</v>
      </c>
    </row>
    <row r="64" spans="1:9" ht="27.6">
      <c r="A64" s="2" t="s">
        <v>108</v>
      </c>
      <c r="B64" s="3">
        <v>46074</v>
      </c>
      <c r="C64" s="2" t="s">
        <v>39</v>
      </c>
      <c r="D64" s="2" t="s">
        <v>12</v>
      </c>
      <c r="E64" s="2" t="s">
        <v>45</v>
      </c>
      <c r="F64" s="2" t="s">
        <v>62</v>
      </c>
      <c r="G64" s="2" t="s">
        <v>15</v>
      </c>
      <c r="H64" s="2">
        <v>18</v>
      </c>
      <c r="I64" s="2" t="s">
        <v>41</v>
      </c>
    </row>
    <row r="65" spans="1:9">
      <c r="A65" s="2" t="s">
        <v>109</v>
      </c>
      <c r="B65" s="3">
        <v>46117</v>
      </c>
      <c r="C65" s="2" t="s">
        <v>11</v>
      </c>
      <c r="D65" s="2" t="s">
        <v>18</v>
      </c>
      <c r="E65" s="2" t="s">
        <v>45</v>
      </c>
      <c r="F65" s="2" t="s">
        <v>25</v>
      </c>
      <c r="G65" s="2" t="s">
        <v>40</v>
      </c>
      <c r="H65" s="2"/>
      <c r="I65" s="2" t="s">
        <v>16</v>
      </c>
    </row>
    <row r="66" spans="1:9">
      <c r="A66" s="2" t="s">
        <v>110</v>
      </c>
      <c r="B66" s="3">
        <v>46102</v>
      </c>
      <c r="C66" s="2" t="s">
        <v>27</v>
      </c>
      <c r="D66" s="2" t="s">
        <v>12</v>
      </c>
      <c r="E66" s="2" t="s">
        <v>31</v>
      </c>
      <c r="F66" s="2" t="s">
        <v>94</v>
      </c>
      <c r="G66" s="2" t="s">
        <v>15</v>
      </c>
      <c r="H66" s="2">
        <v>22</v>
      </c>
      <c r="I66" s="2" t="s">
        <v>29</v>
      </c>
    </row>
    <row r="67" spans="1:9">
      <c r="A67" s="2" t="s">
        <v>111</v>
      </c>
      <c r="B67" s="3">
        <v>46085</v>
      </c>
      <c r="C67" s="2" t="s">
        <v>11</v>
      </c>
      <c r="D67" s="2" t="s">
        <v>18</v>
      </c>
      <c r="E67" s="2" t="s">
        <v>28</v>
      </c>
      <c r="F67" s="2" t="s">
        <v>81</v>
      </c>
      <c r="G67" s="2" t="s">
        <v>15</v>
      </c>
      <c r="H67" s="2">
        <v>46</v>
      </c>
      <c r="I67" s="2" t="s">
        <v>16</v>
      </c>
    </row>
    <row r="68" spans="1:9">
      <c r="A68" s="2" t="s">
        <v>112</v>
      </c>
      <c r="B68" s="3">
        <v>46117</v>
      </c>
      <c r="C68" s="2" t="s">
        <v>11</v>
      </c>
      <c r="D68" s="2" t="s">
        <v>44</v>
      </c>
      <c r="E68" s="2" t="s">
        <v>45</v>
      </c>
      <c r="F68" s="2" t="s">
        <v>79</v>
      </c>
      <c r="G68" s="2" t="s">
        <v>15</v>
      </c>
      <c r="H68" s="2">
        <v>2</v>
      </c>
      <c r="I68" s="2" t="s">
        <v>16</v>
      </c>
    </row>
    <row r="69" spans="1:9">
      <c r="A69" s="2" t="s">
        <v>113</v>
      </c>
      <c r="B69" s="3">
        <v>46140</v>
      </c>
      <c r="C69" s="2" t="s">
        <v>20</v>
      </c>
      <c r="D69" s="2" t="s">
        <v>18</v>
      </c>
      <c r="E69" s="2" t="s">
        <v>57</v>
      </c>
      <c r="F69" s="2" t="s">
        <v>114</v>
      </c>
      <c r="G69" s="2" t="s">
        <v>15</v>
      </c>
      <c r="H69" s="2">
        <v>39</v>
      </c>
      <c r="I69" s="2" t="s">
        <v>23</v>
      </c>
    </row>
    <row r="70" spans="1:9">
      <c r="A70" s="2" t="s">
        <v>115</v>
      </c>
      <c r="B70" s="3">
        <v>46091</v>
      </c>
      <c r="C70" s="2" t="s">
        <v>34</v>
      </c>
      <c r="D70" s="2" t="s">
        <v>54</v>
      </c>
      <c r="E70" s="2" t="s">
        <v>13</v>
      </c>
      <c r="F70" s="2" t="s">
        <v>50</v>
      </c>
      <c r="G70" s="2" t="s">
        <v>59</v>
      </c>
      <c r="H70" s="2">
        <v>61</v>
      </c>
      <c r="I70" s="2" t="s">
        <v>35</v>
      </c>
    </row>
    <row r="71" spans="1:9">
      <c r="A71" s="2" t="s">
        <v>116</v>
      </c>
      <c r="B71" s="3">
        <v>46120</v>
      </c>
      <c r="C71" s="2" t="s">
        <v>34</v>
      </c>
      <c r="D71" s="2" t="s">
        <v>12</v>
      </c>
      <c r="E71" s="2" t="s">
        <v>57</v>
      </c>
      <c r="F71" s="2" t="s">
        <v>114</v>
      </c>
      <c r="G71" s="2" t="s">
        <v>15</v>
      </c>
      <c r="H71" s="2">
        <v>14</v>
      </c>
      <c r="I71" s="2" t="s">
        <v>35</v>
      </c>
    </row>
    <row r="72" spans="1:9">
      <c r="A72" s="2" t="s">
        <v>117</v>
      </c>
      <c r="B72" s="3">
        <v>46093</v>
      </c>
      <c r="C72" s="2" t="s">
        <v>27</v>
      </c>
      <c r="D72" s="2" t="s">
        <v>12</v>
      </c>
      <c r="E72" s="2" t="s">
        <v>57</v>
      </c>
      <c r="F72" s="2" t="s">
        <v>114</v>
      </c>
      <c r="G72" s="2" t="s">
        <v>59</v>
      </c>
      <c r="H72" s="2">
        <v>12</v>
      </c>
      <c r="I72" s="2" t="s">
        <v>29</v>
      </c>
    </row>
    <row r="73" spans="1:9">
      <c r="A73" s="2" t="s">
        <v>118</v>
      </c>
      <c r="B73" s="3">
        <v>46144</v>
      </c>
      <c r="C73" s="2" t="s">
        <v>27</v>
      </c>
      <c r="D73" s="2" t="s">
        <v>18</v>
      </c>
      <c r="E73" s="2" t="s">
        <v>57</v>
      </c>
      <c r="F73" s="2" t="s">
        <v>25</v>
      </c>
      <c r="G73" s="2" t="s">
        <v>40</v>
      </c>
      <c r="H73" s="2"/>
      <c r="I73" s="2" t="s">
        <v>29</v>
      </c>
    </row>
    <row r="74" spans="1:9">
      <c r="A74" s="2" t="s">
        <v>119</v>
      </c>
      <c r="B74" s="3">
        <v>46171</v>
      </c>
      <c r="C74" s="2" t="s">
        <v>34</v>
      </c>
      <c r="D74" s="2" t="s">
        <v>12</v>
      </c>
      <c r="E74" s="2" t="s">
        <v>45</v>
      </c>
      <c r="F74" s="2" t="s">
        <v>46</v>
      </c>
      <c r="G74" s="2" t="s">
        <v>15</v>
      </c>
      <c r="H74" s="2">
        <v>18</v>
      </c>
      <c r="I74" s="2" t="s">
        <v>35</v>
      </c>
    </row>
    <row r="75" spans="1:9">
      <c r="A75" s="2" t="s">
        <v>120</v>
      </c>
      <c r="B75" s="3">
        <v>46087</v>
      </c>
      <c r="C75" s="2" t="s">
        <v>11</v>
      </c>
      <c r="D75" s="2" t="s">
        <v>12</v>
      </c>
      <c r="E75" s="2" t="s">
        <v>28</v>
      </c>
      <c r="F75" s="2" t="s">
        <v>25</v>
      </c>
      <c r="G75" s="2" t="s">
        <v>15</v>
      </c>
      <c r="H75" s="2">
        <v>10</v>
      </c>
      <c r="I75" s="2" t="s">
        <v>16</v>
      </c>
    </row>
    <row r="76" spans="1:9">
      <c r="A76" s="2" t="s">
        <v>121</v>
      </c>
      <c r="B76" s="3">
        <v>46146</v>
      </c>
      <c r="C76" s="2" t="s">
        <v>34</v>
      </c>
      <c r="D76" s="2" t="s">
        <v>18</v>
      </c>
      <c r="E76" s="2" t="s">
        <v>45</v>
      </c>
      <c r="F76" s="2" t="s">
        <v>62</v>
      </c>
      <c r="G76" s="2" t="s">
        <v>15</v>
      </c>
      <c r="H76" s="2">
        <v>26</v>
      </c>
      <c r="I76" s="2" t="s">
        <v>35</v>
      </c>
    </row>
    <row r="77" spans="1:9">
      <c r="A77" s="2" t="s">
        <v>122</v>
      </c>
      <c r="B77" s="3">
        <v>46068</v>
      </c>
      <c r="C77" s="2" t="s">
        <v>34</v>
      </c>
      <c r="D77" s="2" t="s">
        <v>44</v>
      </c>
      <c r="E77" s="2" t="s">
        <v>28</v>
      </c>
      <c r="F77" s="2" t="s">
        <v>81</v>
      </c>
      <c r="G77" s="2" t="s">
        <v>40</v>
      </c>
      <c r="H77" s="2"/>
      <c r="I77" s="2" t="s">
        <v>35</v>
      </c>
    </row>
    <row r="78" spans="1:9">
      <c r="A78" s="2" t="s">
        <v>123</v>
      </c>
      <c r="B78" s="3">
        <v>46148</v>
      </c>
      <c r="C78" s="2" t="s">
        <v>11</v>
      </c>
      <c r="D78" s="2" t="s">
        <v>12</v>
      </c>
      <c r="E78" s="2" t="s">
        <v>21</v>
      </c>
      <c r="F78" s="2" t="s">
        <v>22</v>
      </c>
      <c r="G78" s="2" t="s">
        <v>15</v>
      </c>
      <c r="H78" s="2">
        <v>5</v>
      </c>
      <c r="I78" s="2" t="s">
        <v>16</v>
      </c>
    </row>
    <row r="79" spans="1:9" ht="27.6">
      <c r="A79" s="2" t="s">
        <v>124</v>
      </c>
      <c r="B79" s="3">
        <v>46052</v>
      </c>
      <c r="C79" s="2" t="s">
        <v>39</v>
      </c>
      <c r="D79" s="2" t="s">
        <v>44</v>
      </c>
      <c r="E79" s="2" t="s">
        <v>57</v>
      </c>
      <c r="F79" s="2" t="s">
        <v>25</v>
      </c>
      <c r="G79" s="2" t="s">
        <v>15</v>
      </c>
      <c r="H79" s="2">
        <v>3</v>
      </c>
      <c r="I79" s="2" t="s">
        <v>41</v>
      </c>
    </row>
    <row r="80" spans="1:9">
      <c r="A80" s="2" t="s">
        <v>125</v>
      </c>
      <c r="B80" s="3">
        <v>46100</v>
      </c>
      <c r="C80" s="2" t="s">
        <v>11</v>
      </c>
      <c r="D80" s="2" t="s">
        <v>12</v>
      </c>
      <c r="E80" s="2" t="s">
        <v>13</v>
      </c>
      <c r="F80" s="2" t="s">
        <v>14</v>
      </c>
      <c r="G80" s="2" t="s">
        <v>15</v>
      </c>
      <c r="H80" s="2">
        <v>20</v>
      </c>
      <c r="I80" s="2" t="s">
        <v>16</v>
      </c>
    </row>
    <row r="81" spans="1:9">
      <c r="A81" s="2" t="s">
        <v>126</v>
      </c>
      <c r="B81" s="3">
        <v>46136</v>
      </c>
      <c r="C81" s="2" t="s">
        <v>34</v>
      </c>
      <c r="D81" s="2" t="s">
        <v>12</v>
      </c>
      <c r="E81" s="2" t="s">
        <v>45</v>
      </c>
      <c r="F81" s="2" t="s">
        <v>62</v>
      </c>
      <c r="G81" s="2" t="s">
        <v>15</v>
      </c>
      <c r="H81" s="2">
        <v>10</v>
      </c>
      <c r="I81" s="2" t="s">
        <v>35</v>
      </c>
    </row>
    <row r="82" spans="1:9">
      <c r="A82" s="2" t="s">
        <v>127</v>
      </c>
      <c r="B82" s="3">
        <v>46090</v>
      </c>
      <c r="C82" s="2" t="s">
        <v>27</v>
      </c>
      <c r="D82" s="2" t="s">
        <v>44</v>
      </c>
      <c r="E82" s="2" t="s">
        <v>21</v>
      </c>
      <c r="F82" s="2" t="s">
        <v>25</v>
      </c>
      <c r="G82" s="2" t="s">
        <v>40</v>
      </c>
      <c r="H82" s="2"/>
      <c r="I82" s="2" t="s">
        <v>29</v>
      </c>
    </row>
  </sheetData>
  <mergeCells count="1">
    <mergeCell ref="A1:I1"/>
  </mergeCells>
  <conditionalFormatting sqref="D3:D82">
    <cfRule type="expression" dxfId="1" priority="1">
      <formula>D3="Critical"</formula>
    </cfRule>
    <cfRule type="expression" dxfId="0" priority="2">
      <formula>D3="High"</formula>
    </cfRule>
  </conditionalFormatting>
  <dataValidations count="3">
    <dataValidation type="list" sqref="D3:D82" xr:uid="{00000000-0002-0000-0000-000000000000}">
      <formula1>"Low,Medium,High,Critical"</formula1>
    </dataValidation>
    <dataValidation type="list" sqref="E3:E82" xr:uid="{00000000-0002-0000-0000-000001000000}">
      <formula1>"Finance,Sales,HR,IT,Customer Support,Warehouse"</formula1>
    </dataValidation>
    <dataValidation type="list" sqref="G3:G82" xr:uid="{00000000-0002-0000-0000-000002000000}">
      <formula1>"Open,In Progress,Closed"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workbookViewId="0">
      <selection sqref="A1:XFD1048576"/>
    </sheetView>
  </sheetViews>
  <sheetFormatPr defaultRowHeight="13.8"/>
  <cols>
    <col min="1" max="2" width="12" customWidth="1"/>
    <col min="3" max="3" width="25" customWidth="1"/>
    <col min="4" max="4" width="34" customWidth="1"/>
    <col min="5" max="6" width="12" customWidth="1"/>
    <col min="7" max="7" width="16" customWidth="1"/>
    <col min="8" max="8" width="22" customWidth="1"/>
    <col min="9" max="9" width="15" customWidth="1"/>
  </cols>
  <sheetData>
    <row r="1" spans="1:9" ht="21">
      <c r="A1" s="6" t="s">
        <v>128</v>
      </c>
      <c r="B1" s="7"/>
      <c r="C1" s="7"/>
      <c r="D1" s="7"/>
      <c r="E1" s="7"/>
      <c r="F1" s="7"/>
      <c r="G1" s="7"/>
      <c r="H1" s="7"/>
      <c r="I1" s="7"/>
    </row>
    <row r="2" spans="1:9" ht="27.6">
      <c r="A2" s="1" t="s">
        <v>129</v>
      </c>
      <c r="B2" s="1" t="s">
        <v>130</v>
      </c>
      <c r="C2" s="1" t="s">
        <v>131</v>
      </c>
      <c r="D2" s="1" t="s">
        <v>132</v>
      </c>
      <c r="E2" s="1" t="s">
        <v>133</v>
      </c>
      <c r="F2" s="1" t="s">
        <v>4</v>
      </c>
      <c r="G2" s="1" t="s">
        <v>134</v>
      </c>
      <c r="H2" s="1" t="s">
        <v>135</v>
      </c>
      <c r="I2" s="1" t="s">
        <v>136</v>
      </c>
    </row>
    <row r="3" spans="1:9">
      <c r="A3" s="2" t="s">
        <v>137</v>
      </c>
      <c r="B3" s="2" t="s">
        <v>138</v>
      </c>
      <c r="C3" s="2" t="s">
        <v>37</v>
      </c>
      <c r="D3" s="2" t="s">
        <v>139</v>
      </c>
      <c r="E3" s="4">
        <v>8.1999999999999993</v>
      </c>
      <c r="F3" s="2" t="s">
        <v>18</v>
      </c>
      <c r="G3" s="2" t="s">
        <v>140</v>
      </c>
      <c r="H3" s="2" t="s">
        <v>141</v>
      </c>
      <c r="I3" s="3">
        <v>46095</v>
      </c>
    </row>
    <row r="4" spans="1:9">
      <c r="A4" s="2" t="s">
        <v>142</v>
      </c>
      <c r="B4" s="2" t="s">
        <v>143</v>
      </c>
      <c r="C4" s="2" t="s">
        <v>144</v>
      </c>
      <c r="D4" s="2" t="s">
        <v>145</v>
      </c>
      <c r="E4" s="4">
        <v>5.4</v>
      </c>
      <c r="F4" s="2" t="s">
        <v>12</v>
      </c>
      <c r="G4" s="2" t="s">
        <v>140</v>
      </c>
      <c r="H4" s="2" t="s">
        <v>146</v>
      </c>
      <c r="I4" s="3">
        <v>46090</v>
      </c>
    </row>
    <row r="5" spans="1:9">
      <c r="A5" s="2" t="s">
        <v>147</v>
      </c>
      <c r="B5" s="2" t="s">
        <v>148</v>
      </c>
      <c r="C5" s="2" t="s">
        <v>79</v>
      </c>
      <c r="D5" s="2" t="s">
        <v>149</v>
      </c>
      <c r="E5" s="4">
        <v>9.9</v>
      </c>
      <c r="F5" s="2" t="s">
        <v>54</v>
      </c>
      <c r="G5" s="2" t="s">
        <v>150</v>
      </c>
      <c r="H5" s="2" t="s">
        <v>146</v>
      </c>
      <c r="I5" s="3">
        <v>46073</v>
      </c>
    </row>
    <row r="6" spans="1:9" ht="27.6">
      <c r="A6" s="2" t="s">
        <v>151</v>
      </c>
      <c r="B6" s="2" t="s">
        <v>152</v>
      </c>
      <c r="C6" s="2" t="s">
        <v>81</v>
      </c>
      <c r="D6" s="2" t="s">
        <v>153</v>
      </c>
      <c r="E6" s="4">
        <v>7.6</v>
      </c>
      <c r="F6" s="2" t="s">
        <v>18</v>
      </c>
      <c r="G6" s="2" t="s">
        <v>150</v>
      </c>
      <c r="H6" s="2" t="s">
        <v>154</v>
      </c>
      <c r="I6" s="3">
        <v>46091</v>
      </c>
    </row>
    <row r="7" spans="1:9">
      <c r="A7" s="2" t="s">
        <v>155</v>
      </c>
      <c r="B7" s="2" t="s">
        <v>156</v>
      </c>
      <c r="C7" s="2" t="s">
        <v>46</v>
      </c>
      <c r="D7" s="2" t="s">
        <v>157</v>
      </c>
      <c r="E7" s="4">
        <v>6</v>
      </c>
      <c r="F7" s="2" t="s">
        <v>12</v>
      </c>
      <c r="G7" s="2" t="s">
        <v>140</v>
      </c>
      <c r="H7" s="2" t="s">
        <v>146</v>
      </c>
      <c r="I7" s="3">
        <v>46101</v>
      </c>
    </row>
    <row r="8" spans="1:9">
      <c r="A8" s="2" t="s">
        <v>158</v>
      </c>
      <c r="B8" s="2" t="s">
        <v>159</v>
      </c>
      <c r="C8" s="2" t="s">
        <v>58</v>
      </c>
      <c r="D8" s="2" t="s">
        <v>160</v>
      </c>
      <c r="E8" s="4">
        <v>9</v>
      </c>
      <c r="F8" s="2" t="s">
        <v>54</v>
      </c>
      <c r="G8" s="2" t="s">
        <v>150</v>
      </c>
      <c r="H8" s="2" t="s">
        <v>161</v>
      </c>
      <c r="I8" s="3">
        <v>46135</v>
      </c>
    </row>
    <row r="9" spans="1:9">
      <c r="A9" s="2" t="s">
        <v>162</v>
      </c>
      <c r="B9" s="2" t="s">
        <v>163</v>
      </c>
      <c r="C9" s="2" t="s">
        <v>50</v>
      </c>
      <c r="D9" s="2" t="s">
        <v>145</v>
      </c>
      <c r="E9" s="4">
        <v>6.1</v>
      </c>
      <c r="F9" s="2" t="s">
        <v>12</v>
      </c>
      <c r="G9" s="2" t="s">
        <v>150</v>
      </c>
      <c r="H9" s="2" t="s">
        <v>164</v>
      </c>
      <c r="I9" s="3">
        <v>46092</v>
      </c>
    </row>
    <row r="10" spans="1:9">
      <c r="A10" s="2" t="s">
        <v>165</v>
      </c>
      <c r="B10" s="2" t="s">
        <v>166</v>
      </c>
      <c r="C10" s="2" t="s">
        <v>14</v>
      </c>
      <c r="D10" s="2" t="s">
        <v>167</v>
      </c>
      <c r="E10" s="4">
        <v>7.2</v>
      </c>
      <c r="F10" s="2" t="s">
        <v>18</v>
      </c>
      <c r="G10" s="2" t="s">
        <v>140</v>
      </c>
      <c r="H10" s="2" t="s">
        <v>164</v>
      </c>
      <c r="I10" s="3">
        <v>46033</v>
      </c>
    </row>
    <row r="11" spans="1:9">
      <c r="A11" s="2" t="s">
        <v>168</v>
      </c>
      <c r="B11" s="2" t="s">
        <v>169</v>
      </c>
      <c r="C11" s="2" t="s">
        <v>170</v>
      </c>
      <c r="D11" s="2" t="s">
        <v>171</v>
      </c>
      <c r="E11" s="4">
        <v>9.3000000000000007</v>
      </c>
      <c r="F11" s="2" t="s">
        <v>54</v>
      </c>
      <c r="G11" s="2" t="s">
        <v>150</v>
      </c>
      <c r="H11" s="2" t="s">
        <v>146</v>
      </c>
      <c r="I11" s="3">
        <v>46029</v>
      </c>
    </row>
    <row r="12" spans="1:9">
      <c r="A12" s="2" t="s">
        <v>172</v>
      </c>
      <c r="B12" s="2" t="s">
        <v>163</v>
      </c>
      <c r="C12" s="2" t="s">
        <v>50</v>
      </c>
      <c r="D12" s="2" t="s">
        <v>173</v>
      </c>
      <c r="E12" s="4">
        <v>9.6999999999999993</v>
      </c>
      <c r="F12" s="2" t="s">
        <v>54</v>
      </c>
      <c r="G12" s="2" t="s">
        <v>150</v>
      </c>
      <c r="H12" s="2" t="s">
        <v>164</v>
      </c>
      <c r="I12" s="3">
        <v>46170</v>
      </c>
    </row>
    <row r="13" spans="1:9">
      <c r="A13" s="2" t="s">
        <v>174</v>
      </c>
      <c r="B13" s="2" t="s">
        <v>159</v>
      </c>
      <c r="C13" s="2" t="s">
        <v>58</v>
      </c>
      <c r="D13" s="2" t="s">
        <v>175</v>
      </c>
      <c r="E13" s="4">
        <v>8.6999999999999993</v>
      </c>
      <c r="F13" s="2" t="s">
        <v>18</v>
      </c>
      <c r="G13" s="2" t="s">
        <v>150</v>
      </c>
      <c r="H13" s="2" t="s">
        <v>161</v>
      </c>
      <c r="I13" s="3">
        <v>46091</v>
      </c>
    </row>
    <row r="14" spans="1:9">
      <c r="A14" s="2" t="s">
        <v>176</v>
      </c>
      <c r="B14" s="2" t="s">
        <v>159</v>
      </c>
      <c r="C14" s="2" t="s">
        <v>58</v>
      </c>
      <c r="D14" s="2" t="s">
        <v>175</v>
      </c>
      <c r="E14" s="4">
        <v>8.4</v>
      </c>
      <c r="F14" s="2" t="s">
        <v>18</v>
      </c>
      <c r="G14" s="2" t="s">
        <v>140</v>
      </c>
      <c r="H14" s="2" t="s">
        <v>161</v>
      </c>
      <c r="I14" s="3">
        <v>46155</v>
      </c>
    </row>
    <row r="15" spans="1:9">
      <c r="A15" s="2" t="s">
        <v>177</v>
      </c>
      <c r="B15" s="2" t="s">
        <v>178</v>
      </c>
      <c r="C15" s="2" t="s">
        <v>32</v>
      </c>
      <c r="D15" s="2" t="s">
        <v>145</v>
      </c>
      <c r="E15" s="4">
        <v>6.4</v>
      </c>
      <c r="F15" s="2" t="s">
        <v>12</v>
      </c>
      <c r="G15" s="2" t="s">
        <v>140</v>
      </c>
      <c r="H15" s="2" t="s">
        <v>179</v>
      </c>
      <c r="I15" s="3">
        <v>46172</v>
      </c>
    </row>
    <row r="16" spans="1:9">
      <c r="A16" s="2" t="s">
        <v>180</v>
      </c>
      <c r="B16" s="2" t="s">
        <v>152</v>
      </c>
      <c r="C16" s="2" t="s">
        <v>81</v>
      </c>
      <c r="D16" s="2" t="s">
        <v>149</v>
      </c>
      <c r="E16" s="4">
        <v>10</v>
      </c>
      <c r="F16" s="2" t="s">
        <v>54</v>
      </c>
      <c r="G16" s="2" t="s">
        <v>181</v>
      </c>
      <c r="H16" s="2" t="s">
        <v>154</v>
      </c>
      <c r="I16" s="3">
        <v>46143</v>
      </c>
    </row>
    <row r="17" spans="1:9">
      <c r="A17" s="2" t="s">
        <v>182</v>
      </c>
      <c r="B17" s="2" t="s">
        <v>183</v>
      </c>
      <c r="C17" s="2" t="s">
        <v>94</v>
      </c>
      <c r="D17" s="2" t="s">
        <v>171</v>
      </c>
      <c r="E17" s="4">
        <v>8.8000000000000007</v>
      </c>
      <c r="F17" s="2" t="s">
        <v>18</v>
      </c>
      <c r="G17" s="2" t="s">
        <v>150</v>
      </c>
      <c r="H17" s="2" t="s">
        <v>179</v>
      </c>
      <c r="I17" s="3">
        <v>46064</v>
      </c>
    </row>
    <row r="18" spans="1:9">
      <c r="A18" s="2" t="s">
        <v>184</v>
      </c>
      <c r="B18" s="2" t="s">
        <v>183</v>
      </c>
      <c r="C18" s="2" t="s">
        <v>94</v>
      </c>
      <c r="D18" s="2" t="s">
        <v>171</v>
      </c>
      <c r="E18" s="4">
        <v>9.1999999999999993</v>
      </c>
      <c r="F18" s="2" t="s">
        <v>54</v>
      </c>
      <c r="G18" s="2" t="s">
        <v>140</v>
      </c>
      <c r="H18" s="2" t="s">
        <v>179</v>
      </c>
      <c r="I18" s="3">
        <v>46125</v>
      </c>
    </row>
    <row r="19" spans="1:9">
      <c r="A19" s="2" t="s">
        <v>185</v>
      </c>
      <c r="B19" s="2" t="s">
        <v>156</v>
      </c>
      <c r="C19" s="2" t="s">
        <v>46</v>
      </c>
      <c r="D19" s="2" t="s">
        <v>167</v>
      </c>
      <c r="E19" s="4">
        <v>6.6</v>
      </c>
      <c r="F19" s="2" t="s">
        <v>12</v>
      </c>
      <c r="G19" s="2" t="s">
        <v>140</v>
      </c>
      <c r="H19" s="2" t="s">
        <v>146</v>
      </c>
      <c r="I19" s="3">
        <v>46087</v>
      </c>
    </row>
    <row r="20" spans="1:9" ht="27.6">
      <c r="A20" s="2" t="s">
        <v>186</v>
      </c>
      <c r="B20" s="2" t="s">
        <v>183</v>
      </c>
      <c r="C20" s="2" t="s">
        <v>94</v>
      </c>
      <c r="D20" s="2" t="s">
        <v>153</v>
      </c>
      <c r="E20" s="4">
        <v>8.1</v>
      </c>
      <c r="F20" s="2" t="s">
        <v>18</v>
      </c>
      <c r="G20" s="2" t="s">
        <v>59</v>
      </c>
      <c r="H20" s="2" t="s">
        <v>179</v>
      </c>
      <c r="I20" s="3">
        <v>46154</v>
      </c>
    </row>
    <row r="21" spans="1:9">
      <c r="A21" s="2" t="s">
        <v>187</v>
      </c>
      <c r="B21" s="2" t="s">
        <v>156</v>
      </c>
      <c r="C21" s="2" t="s">
        <v>46</v>
      </c>
      <c r="D21" s="2" t="s">
        <v>175</v>
      </c>
      <c r="E21" s="4">
        <v>8.3000000000000007</v>
      </c>
      <c r="F21" s="2" t="s">
        <v>18</v>
      </c>
      <c r="G21" s="2" t="s">
        <v>59</v>
      </c>
      <c r="H21" s="2" t="s">
        <v>146</v>
      </c>
      <c r="I21" s="3">
        <v>46128</v>
      </c>
    </row>
    <row r="22" spans="1:9">
      <c r="A22" s="2" t="s">
        <v>188</v>
      </c>
      <c r="B22" s="2" t="s">
        <v>189</v>
      </c>
      <c r="C22" s="2" t="s">
        <v>62</v>
      </c>
      <c r="D22" s="2" t="s">
        <v>173</v>
      </c>
      <c r="E22" s="4">
        <v>9.1</v>
      </c>
      <c r="F22" s="2" t="s">
        <v>54</v>
      </c>
      <c r="G22" s="2" t="s">
        <v>150</v>
      </c>
      <c r="H22" s="2" t="s">
        <v>146</v>
      </c>
      <c r="I22" s="3">
        <v>46150</v>
      </c>
    </row>
    <row r="23" spans="1:9">
      <c r="A23" s="2" t="s">
        <v>190</v>
      </c>
      <c r="B23" s="2" t="s">
        <v>178</v>
      </c>
      <c r="C23" s="2" t="s">
        <v>32</v>
      </c>
      <c r="D23" s="2" t="s">
        <v>145</v>
      </c>
      <c r="E23" s="4">
        <v>6.2</v>
      </c>
      <c r="F23" s="2" t="s">
        <v>12</v>
      </c>
      <c r="G23" s="2" t="s">
        <v>140</v>
      </c>
      <c r="H23" s="2" t="s">
        <v>179</v>
      </c>
      <c r="I23" s="3">
        <v>46163</v>
      </c>
    </row>
    <row r="24" spans="1:9">
      <c r="A24" s="2" t="s">
        <v>191</v>
      </c>
      <c r="B24" s="2" t="s">
        <v>192</v>
      </c>
      <c r="C24" s="2" t="s">
        <v>25</v>
      </c>
      <c r="D24" s="2" t="s">
        <v>139</v>
      </c>
      <c r="E24" s="4">
        <v>8.6999999999999993</v>
      </c>
      <c r="F24" s="2" t="s">
        <v>18</v>
      </c>
      <c r="G24" s="2" t="s">
        <v>150</v>
      </c>
      <c r="H24" s="2" t="s">
        <v>146</v>
      </c>
      <c r="I24" s="3">
        <v>46054</v>
      </c>
    </row>
    <row r="25" spans="1:9">
      <c r="A25" s="2" t="s">
        <v>193</v>
      </c>
      <c r="B25" s="2" t="s">
        <v>189</v>
      </c>
      <c r="C25" s="2" t="s">
        <v>62</v>
      </c>
      <c r="D25" s="2" t="s">
        <v>149</v>
      </c>
      <c r="E25" s="4">
        <v>9.9</v>
      </c>
      <c r="F25" s="2" t="s">
        <v>54</v>
      </c>
      <c r="G25" s="2" t="s">
        <v>140</v>
      </c>
      <c r="H25" s="2" t="s">
        <v>146</v>
      </c>
      <c r="I25" s="3">
        <v>46063</v>
      </c>
    </row>
    <row r="26" spans="1:9">
      <c r="A26" s="2" t="s">
        <v>194</v>
      </c>
      <c r="B26" s="2" t="s">
        <v>195</v>
      </c>
      <c r="C26" s="2" t="s">
        <v>114</v>
      </c>
      <c r="D26" s="2" t="s">
        <v>167</v>
      </c>
      <c r="E26" s="4">
        <v>6.6</v>
      </c>
      <c r="F26" s="2" t="s">
        <v>12</v>
      </c>
      <c r="G26" s="2" t="s">
        <v>59</v>
      </c>
      <c r="H26" s="2" t="s">
        <v>161</v>
      </c>
      <c r="I26" s="3">
        <v>46080</v>
      </c>
    </row>
    <row r="27" spans="1:9" ht="27.6">
      <c r="A27" s="2" t="s">
        <v>196</v>
      </c>
      <c r="B27" s="2" t="s">
        <v>156</v>
      </c>
      <c r="C27" s="2" t="s">
        <v>46</v>
      </c>
      <c r="D27" s="2" t="s">
        <v>153</v>
      </c>
      <c r="E27" s="4">
        <v>7.5</v>
      </c>
      <c r="F27" s="2" t="s">
        <v>18</v>
      </c>
      <c r="G27" s="2" t="s">
        <v>140</v>
      </c>
      <c r="H27" s="2" t="s">
        <v>146</v>
      </c>
      <c r="I27" s="3">
        <v>46062</v>
      </c>
    </row>
    <row r="28" spans="1:9">
      <c r="A28" s="2" t="s">
        <v>197</v>
      </c>
      <c r="B28" s="2" t="s">
        <v>138</v>
      </c>
      <c r="C28" s="2" t="s">
        <v>37</v>
      </c>
      <c r="D28" s="2" t="s">
        <v>160</v>
      </c>
      <c r="E28" s="4">
        <v>8.4</v>
      </c>
      <c r="F28" s="2" t="s">
        <v>18</v>
      </c>
      <c r="G28" s="2" t="s">
        <v>150</v>
      </c>
      <c r="H28" s="2" t="s">
        <v>141</v>
      </c>
      <c r="I28" s="3">
        <v>46129</v>
      </c>
    </row>
    <row r="29" spans="1:9">
      <c r="A29" s="2" t="s">
        <v>198</v>
      </c>
      <c r="B29" s="2" t="s">
        <v>156</v>
      </c>
      <c r="C29" s="2" t="s">
        <v>46</v>
      </c>
      <c r="D29" s="2" t="s">
        <v>145</v>
      </c>
      <c r="E29" s="4">
        <v>6.5</v>
      </c>
      <c r="F29" s="2" t="s">
        <v>12</v>
      </c>
      <c r="G29" s="2" t="s">
        <v>140</v>
      </c>
      <c r="H29" s="2" t="s">
        <v>146</v>
      </c>
      <c r="I29" s="3">
        <v>46164</v>
      </c>
    </row>
    <row r="30" spans="1:9">
      <c r="A30" s="2" t="s">
        <v>199</v>
      </c>
      <c r="B30" s="2" t="s">
        <v>192</v>
      </c>
      <c r="C30" s="2" t="s">
        <v>25</v>
      </c>
      <c r="D30" s="2" t="s">
        <v>171</v>
      </c>
      <c r="E30" s="4">
        <v>8.6</v>
      </c>
      <c r="F30" s="2" t="s">
        <v>18</v>
      </c>
      <c r="G30" s="2" t="s">
        <v>150</v>
      </c>
      <c r="H30" s="2" t="s">
        <v>146</v>
      </c>
      <c r="I30" s="3">
        <v>46057</v>
      </c>
    </row>
    <row r="31" spans="1:9" ht="27.6">
      <c r="A31" s="2" t="s">
        <v>200</v>
      </c>
      <c r="B31" s="2" t="s">
        <v>156</v>
      </c>
      <c r="C31" s="2" t="s">
        <v>46</v>
      </c>
      <c r="D31" s="2" t="s">
        <v>153</v>
      </c>
      <c r="E31" s="4">
        <v>7.2</v>
      </c>
      <c r="F31" s="2" t="s">
        <v>18</v>
      </c>
      <c r="G31" s="2" t="s">
        <v>150</v>
      </c>
      <c r="H31" s="2" t="s">
        <v>146</v>
      </c>
      <c r="I31" s="3">
        <v>46129</v>
      </c>
    </row>
    <row r="32" spans="1:9">
      <c r="A32" s="2" t="s">
        <v>201</v>
      </c>
      <c r="B32" s="2" t="s">
        <v>183</v>
      </c>
      <c r="C32" s="2" t="s">
        <v>94</v>
      </c>
      <c r="D32" s="2" t="s">
        <v>167</v>
      </c>
      <c r="E32" s="4">
        <v>6.9</v>
      </c>
      <c r="F32" s="2" t="s">
        <v>12</v>
      </c>
      <c r="G32" s="2" t="s">
        <v>140</v>
      </c>
      <c r="H32" s="2" t="s">
        <v>179</v>
      </c>
      <c r="I32" s="3">
        <v>46099</v>
      </c>
    </row>
    <row r="33" spans="1:9">
      <c r="A33" s="2" t="s">
        <v>202</v>
      </c>
      <c r="B33" s="2" t="s">
        <v>156</v>
      </c>
      <c r="C33" s="2" t="s">
        <v>46</v>
      </c>
      <c r="D33" s="2" t="s">
        <v>203</v>
      </c>
      <c r="E33" s="4">
        <v>5.4</v>
      </c>
      <c r="F33" s="2" t="s">
        <v>12</v>
      </c>
      <c r="G33" s="2" t="s">
        <v>150</v>
      </c>
      <c r="H33" s="2" t="s">
        <v>146</v>
      </c>
      <c r="I33" s="3">
        <v>46061</v>
      </c>
    </row>
    <row r="34" spans="1:9">
      <c r="A34" s="2" t="s">
        <v>204</v>
      </c>
      <c r="B34" s="2" t="s">
        <v>138</v>
      </c>
      <c r="C34" s="2" t="s">
        <v>37</v>
      </c>
      <c r="D34" s="2" t="s">
        <v>167</v>
      </c>
      <c r="E34" s="4">
        <v>7.2</v>
      </c>
      <c r="F34" s="2" t="s">
        <v>18</v>
      </c>
      <c r="G34" s="2" t="s">
        <v>59</v>
      </c>
      <c r="H34" s="2" t="s">
        <v>141</v>
      </c>
      <c r="I34" s="3">
        <v>46162</v>
      </c>
    </row>
    <row r="35" spans="1:9">
      <c r="A35" s="2" t="s">
        <v>205</v>
      </c>
      <c r="B35" s="2" t="s">
        <v>152</v>
      </c>
      <c r="C35" s="2" t="s">
        <v>81</v>
      </c>
      <c r="D35" s="2" t="s">
        <v>145</v>
      </c>
      <c r="E35" s="4">
        <v>6.4</v>
      </c>
      <c r="F35" s="2" t="s">
        <v>12</v>
      </c>
      <c r="G35" s="2" t="s">
        <v>150</v>
      </c>
      <c r="H35" s="2" t="s">
        <v>154</v>
      </c>
      <c r="I35" s="3">
        <v>46084</v>
      </c>
    </row>
    <row r="36" spans="1:9">
      <c r="A36" s="2" t="s">
        <v>206</v>
      </c>
      <c r="B36" s="2" t="s">
        <v>159</v>
      </c>
      <c r="C36" s="2" t="s">
        <v>58</v>
      </c>
      <c r="D36" s="2" t="s">
        <v>171</v>
      </c>
      <c r="E36" s="4">
        <v>8.6999999999999993</v>
      </c>
      <c r="F36" s="2" t="s">
        <v>18</v>
      </c>
      <c r="G36" s="2" t="s">
        <v>150</v>
      </c>
      <c r="H36" s="2" t="s">
        <v>161</v>
      </c>
      <c r="I36" s="3">
        <v>46034</v>
      </c>
    </row>
    <row r="37" spans="1:9">
      <c r="A37" s="2" t="s">
        <v>207</v>
      </c>
      <c r="B37" s="2" t="s">
        <v>183</v>
      </c>
      <c r="C37" s="2" t="s">
        <v>94</v>
      </c>
      <c r="D37" s="2" t="s">
        <v>160</v>
      </c>
      <c r="E37" s="4">
        <v>8.6</v>
      </c>
      <c r="F37" s="2" t="s">
        <v>18</v>
      </c>
      <c r="G37" s="2" t="s">
        <v>150</v>
      </c>
      <c r="H37" s="2" t="s">
        <v>179</v>
      </c>
      <c r="I37" s="3">
        <v>46120</v>
      </c>
    </row>
    <row r="38" spans="1:9">
      <c r="A38" s="2" t="s">
        <v>208</v>
      </c>
      <c r="B38" s="2" t="s">
        <v>152</v>
      </c>
      <c r="C38" s="2" t="s">
        <v>81</v>
      </c>
      <c r="D38" s="2" t="s">
        <v>149</v>
      </c>
      <c r="E38" s="4">
        <v>10</v>
      </c>
      <c r="F38" s="2" t="s">
        <v>54</v>
      </c>
      <c r="G38" s="2" t="s">
        <v>150</v>
      </c>
      <c r="H38" s="2" t="s">
        <v>154</v>
      </c>
      <c r="I38" s="3">
        <v>46061</v>
      </c>
    </row>
    <row r="39" spans="1:9">
      <c r="A39" s="2" t="s">
        <v>209</v>
      </c>
      <c r="B39" s="2" t="s">
        <v>138</v>
      </c>
      <c r="C39" s="2" t="s">
        <v>37</v>
      </c>
      <c r="D39" s="2" t="s">
        <v>175</v>
      </c>
      <c r="E39" s="4">
        <v>7.7</v>
      </c>
      <c r="F39" s="2" t="s">
        <v>18</v>
      </c>
      <c r="G39" s="2" t="s">
        <v>181</v>
      </c>
      <c r="H39" s="2" t="s">
        <v>141</v>
      </c>
      <c r="I39" s="3">
        <v>46107</v>
      </c>
    </row>
    <row r="40" spans="1:9" ht="27.6">
      <c r="A40" s="2" t="s">
        <v>210</v>
      </c>
      <c r="B40" s="2" t="s">
        <v>156</v>
      </c>
      <c r="C40" s="2" t="s">
        <v>46</v>
      </c>
      <c r="D40" s="2" t="s">
        <v>153</v>
      </c>
      <c r="E40" s="4">
        <v>7.9</v>
      </c>
      <c r="F40" s="2" t="s">
        <v>18</v>
      </c>
      <c r="G40" s="2" t="s">
        <v>59</v>
      </c>
      <c r="H40" s="2" t="s">
        <v>146</v>
      </c>
      <c r="I40" s="3">
        <v>46157</v>
      </c>
    </row>
    <row r="41" spans="1:9">
      <c r="A41" s="2" t="s">
        <v>211</v>
      </c>
      <c r="B41" s="2" t="s">
        <v>169</v>
      </c>
      <c r="C41" s="2" t="s">
        <v>170</v>
      </c>
      <c r="D41" s="2" t="s">
        <v>145</v>
      </c>
      <c r="E41" s="4">
        <v>5.3</v>
      </c>
      <c r="F41" s="2" t="s">
        <v>12</v>
      </c>
      <c r="G41" s="2" t="s">
        <v>140</v>
      </c>
      <c r="H41" s="2" t="s">
        <v>146</v>
      </c>
      <c r="I41" s="3">
        <v>46062</v>
      </c>
    </row>
    <row r="42" spans="1:9">
      <c r="A42" s="2" t="s">
        <v>212</v>
      </c>
      <c r="B42" s="2" t="s">
        <v>163</v>
      </c>
      <c r="C42" s="2" t="s">
        <v>50</v>
      </c>
      <c r="D42" s="2" t="s">
        <v>145</v>
      </c>
      <c r="E42" s="4">
        <v>6.2</v>
      </c>
      <c r="F42" s="2" t="s">
        <v>12</v>
      </c>
      <c r="G42" s="2" t="s">
        <v>140</v>
      </c>
      <c r="H42" s="2" t="s">
        <v>164</v>
      </c>
      <c r="I42" s="3">
        <v>46124</v>
      </c>
    </row>
    <row r="43" spans="1:9" ht="27.6">
      <c r="A43" s="2" t="s">
        <v>213</v>
      </c>
      <c r="B43" s="2" t="s">
        <v>178</v>
      </c>
      <c r="C43" s="2" t="s">
        <v>32</v>
      </c>
      <c r="D43" s="2" t="s">
        <v>153</v>
      </c>
      <c r="E43" s="4">
        <v>7.9</v>
      </c>
      <c r="F43" s="2" t="s">
        <v>18</v>
      </c>
      <c r="G43" s="2" t="s">
        <v>150</v>
      </c>
      <c r="H43" s="2" t="s">
        <v>179</v>
      </c>
      <c r="I43" s="3">
        <v>46159</v>
      </c>
    </row>
    <row r="44" spans="1:9">
      <c r="A44" s="2" t="s">
        <v>214</v>
      </c>
      <c r="B44" s="2" t="s">
        <v>152</v>
      </c>
      <c r="C44" s="2" t="s">
        <v>81</v>
      </c>
      <c r="D44" s="2" t="s">
        <v>215</v>
      </c>
      <c r="E44" s="4">
        <v>7</v>
      </c>
      <c r="F44" s="2" t="s">
        <v>18</v>
      </c>
      <c r="G44" s="2" t="s">
        <v>150</v>
      </c>
      <c r="H44" s="2" t="s">
        <v>154</v>
      </c>
      <c r="I44" s="3">
        <v>46147</v>
      </c>
    </row>
    <row r="45" spans="1:9">
      <c r="A45" s="2" t="s">
        <v>216</v>
      </c>
      <c r="B45" s="2" t="s">
        <v>156</v>
      </c>
      <c r="C45" s="2" t="s">
        <v>46</v>
      </c>
      <c r="D45" s="2" t="s">
        <v>167</v>
      </c>
      <c r="E45" s="4">
        <v>6.6</v>
      </c>
      <c r="F45" s="2" t="s">
        <v>12</v>
      </c>
      <c r="G45" s="2" t="s">
        <v>140</v>
      </c>
      <c r="H45" s="2" t="s">
        <v>146</v>
      </c>
      <c r="I45" s="3">
        <v>46096</v>
      </c>
    </row>
    <row r="46" spans="1:9">
      <c r="A46" s="2" t="s">
        <v>217</v>
      </c>
      <c r="B46" s="2" t="s">
        <v>218</v>
      </c>
      <c r="C46" s="2" t="s">
        <v>22</v>
      </c>
      <c r="D46" s="2" t="s">
        <v>160</v>
      </c>
      <c r="E46" s="4">
        <v>8.1</v>
      </c>
      <c r="F46" s="2" t="s">
        <v>18</v>
      </c>
      <c r="G46" s="2" t="s">
        <v>181</v>
      </c>
      <c r="H46" s="2" t="s">
        <v>141</v>
      </c>
      <c r="I46" s="3">
        <v>46048</v>
      </c>
    </row>
    <row r="47" spans="1:9">
      <c r="A47" s="2" t="s">
        <v>219</v>
      </c>
      <c r="B47" s="2" t="s">
        <v>138</v>
      </c>
      <c r="C47" s="2" t="s">
        <v>37</v>
      </c>
      <c r="D47" s="2" t="s">
        <v>157</v>
      </c>
      <c r="E47" s="4">
        <v>6.7</v>
      </c>
      <c r="F47" s="2" t="s">
        <v>12</v>
      </c>
      <c r="G47" s="2" t="s">
        <v>150</v>
      </c>
      <c r="H47" s="2" t="s">
        <v>141</v>
      </c>
      <c r="I47" s="3">
        <v>46034</v>
      </c>
    </row>
  </sheetData>
  <mergeCells count="1">
    <mergeCell ref="A1:I1"/>
  </mergeCells>
  <conditionalFormatting sqref="E3:E47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2">
    <dataValidation type="list" sqref="F3:F47" xr:uid="{00000000-0002-0000-0100-000000000000}">
      <formula1>"Low,Medium,High,Critical"</formula1>
    </dataValidation>
    <dataValidation type="list" sqref="G3:G47" xr:uid="{00000000-0002-0000-0100-000001000000}">
      <formula1>"Not Patched,In Progress,Patched,Risk Accepted"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>
      <selection sqref="A1:XFD1048576"/>
    </sheetView>
  </sheetViews>
  <sheetFormatPr defaultRowHeight="13.8"/>
  <cols>
    <col min="1" max="1" width="12" customWidth="1"/>
    <col min="2" max="2" width="28" customWidth="1"/>
    <col min="3" max="4" width="18" customWidth="1"/>
    <col min="5" max="5" width="14" customWidth="1"/>
    <col min="6" max="6" width="16" customWidth="1"/>
    <col min="7" max="7" width="24" customWidth="1"/>
  </cols>
  <sheetData>
    <row r="1" spans="1:7" ht="21">
      <c r="A1" s="6" t="s">
        <v>220</v>
      </c>
      <c r="B1" s="7"/>
      <c r="C1" s="7"/>
      <c r="D1" s="7"/>
      <c r="E1" s="7"/>
      <c r="F1" s="7"/>
      <c r="G1" s="7"/>
    </row>
    <row r="2" spans="1:7">
      <c r="A2" s="1" t="s">
        <v>130</v>
      </c>
      <c r="B2" s="1" t="s">
        <v>131</v>
      </c>
      <c r="C2" s="1" t="s">
        <v>221</v>
      </c>
      <c r="D2" s="1" t="s">
        <v>5</v>
      </c>
      <c r="E2" s="1" t="s">
        <v>222</v>
      </c>
      <c r="F2" s="1" t="s">
        <v>223</v>
      </c>
      <c r="G2" s="1" t="s">
        <v>135</v>
      </c>
    </row>
    <row r="3" spans="1:7">
      <c r="A3" s="2" t="s">
        <v>189</v>
      </c>
      <c r="B3" s="2" t="s">
        <v>62</v>
      </c>
      <c r="C3" s="2" t="s">
        <v>224</v>
      </c>
      <c r="D3" s="2" t="s">
        <v>45</v>
      </c>
      <c r="E3" s="2" t="s">
        <v>54</v>
      </c>
      <c r="F3" s="2" t="s">
        <v>225</v>
      </c>
      <c r="G3" s="2" t="s">
        <v>146</v>
      </c>
    </row>
    <row r="4" spans="1:7">
      <c r="A4" s="2" t="s">
        <v>163</v>
      </c>
      <c r="B4" s="2" t="s">
        <v>50</v>
      </c>
      <c r="C4" s="2" t="s">
        <v>226</v>
      </c>
      <c r="D4" s="2" t="s">
        <v>13</v>
      </c>
      <c r="E4" s="2" t="s">
        <v>54</v>
      </c>
      <c r="F4" s="2" t="s">
        <v>225</v>
      </c>
      <c r="G4" s="2" t="s">
        <v>164</v>
      </c>
    </row>
    <row r="5" spans="1:7">
      <c r="A5" s="2" t="s">
        <v>192</v>
      </c>
      <c r="B5" s="2" t="s">
        <v>25</v>
      </c>
      <c r="C5" s="2" t="s">
        <v>227</v>
      </c>
      <c r="D5" s="2" t="s">
        <v>45</v>
      </c>
      <c r="E5" s="2" t="s">
        <v>54</v>
      </c>
      <c r="F5" s="2" t="s">
        <v>225</v>
      </c>
      <c r="G5" s="2" t="s">
        <v>146</v>
      </c>
    </row>
    <row r="6" spans="1:7">
      <c r="A6" s="2" t="s">
        <v>218</v>
      </c>
      <c r="B6" s="2" t="s">
        <v>22</v>
      </c>
      <c r="C6" s="2" t="s">
        <v>226</v>
      </c>
      <c r="D6" s="2" t="s">
        <v>21</v>
      </c>
      <c r="E6" s="2" t="s">
        <v>54</v>
      </c>
      <c r="F6" s="2" t="s">
        <v>228</v>
      </c>
      <c r="G6" s="2" t="s">
        <v>141</v>
      </c>
    </row>
    <row r="7" spans="1:7">
      <c r="A7" s="2" t="s">
        <v>195</v>
      </c>
      <c r="B7" s="2" t="s">
        <v>114</v>
      </c>
      <c r="C7" s="2" t="s">
        <v>226</v>
      </c>
      <c r="D7" s="2" t="s">
        <v>57</v>
      </c>
      <c r="E7" s="2" t="s">
        <v>18</v>
      </c>
      <c r="F7" s="2" t="s">
        <v>228</v>
      </c>
      <c r="G7" s="2" t="s">
        <v>161</v>
      </c>
    </row>
    <row r="8" spans="1:7">
      <c r="A8" s="2" t="s">
        <v>183</v>
      </c>
      <c r="B8" s="2" t="s">
        <v>94</v>
      </c>
      <c r="C8" s="2" t="s">
        <v>226</v>
      </c>
      <c r="D8" s="2" t="s">
        <v>31</v>
      </c>
      <c r="E8" s="2" t="s">
        <v>18</v>
      </c>
      <c r="F8" s="2" t="s">
        <v>228</v>
      </c>
      <c r="G8" s="2" t="s">
        <v>179</v>
      </c>
    </row>
    <row r="9" spans="1:7">
      <c r="A9" s="2" t="s">
        <v>152</v>
      </c>
      <c r="B9" s="2" t="s">
        <v>81</v>
      </c>
      <c r="C9" s="2" t="s">
        <v>226</v>
      </c>
      <c r="D9" s="2" t="s">
        <v>28</v>
      </c>
      <c r="E9" s="2" t="s">
        <v>18</v>
      </c>
      <c r="F9" s="2" t="s">
        <v>225</v>
      </c>
      <c r="G9" s="2" t="s">
        <v>154</v>
      </c>
    </row>
    <row r="10" spans="1:7">
      <c r="A10" s="2" t="s">
        <v>138</v>
      </c>
      <c r="B10" s="2" t="s">
        <v>37</v>
      </c>
      <c r="C10" s="2" t="s">
        <v>229</v>
      </c>
      <c r="D10" s="2" t="s">
        <v>21</v>
      </c>
      <c r="E10" s="2" t="s">
        <v>18</v>
      </c>
      <c r="F10" s="2" t="s">
        <v>228</v>
      </c>
      <c r="G10" s="2" t="s">
        <v>146</v>
      </c>
    </row>
    <row r="11" spans="1:7">
      <c r="A11" s="2" t="s">
        <v>166</v>
      </c>
      <c r="B11" s="2" t="s">
        <v>14</v>
      </c>
      <c r="C11" s="2" t="s">
        <v>229</v>
      </c>
      <c r="D11" s="2" t="s">
        <v>13</v>
      </c>
      <c r="E11" s="2" t="s">
        <v>12</v>
      </c>
      <c r="F11" s="2" t="s">
        <v>228</v>
      </c>
      <c r="G11" s="2" t="s">
        <v>146</v>
      </c>
    </row>
    <row r="12" spans="1:7">
      <c r="A12" s="2" t="s">
        <v>159</v>
      </c>
      <c r="B12" s="2" t="s">
        <v>58</v>
      </c>
      <c r="C12" s="2" t="s">
        <v>229</v>
      </c>
      <c r="D12" s="2" t="s">
        <v>57</v>
      </c>
      <c r="E12" s="2" t="s">
        <v>12</v>
      </c>
      <c r="F12" s="2" t="s">
        <v>228</v>
      </c>
      <c r="G12" s="2" t="s">
        <v>146</v>
      </c>
    </row>
    <row r="13" spans="1:7">
      <c r="A13" s="2" t="s">
        <v>178</v>
      </c>
      <c r="B13" s="2" t="s">
        <v>32</v>
      </c>
      <c r="C13" s="2" t="s">
        <v>229</v>
      </c>
      <c r="D13" s="2" t="s">
        <v>31</v>
      </c>
      <c r="E13" s="2" t="s">
        <v>12</v>
      </c>
      <c r="F13" s="2" t="s">
        <v>228</v>
      </c>
      <c r="G13" s="2" t="s">
        <v>146</v>
      </c>
    </row>
    <row r="14" spans="1:7">
      <c r="A14" s="2" t="s">
        <v>143</v>
      </c>
      <c r="B14" s="2" t="s">
        <v>144</v>
      </c>
      <c r="C14" s="2" t="s">
        <v>230</v>
      </c>
      <c r="D14" s="2" t="s">
        <v>45</v>
      </c>
      <c r="E14" s="2" t="s">
        <v>54</v>
      </c>
      <c r="F14" s="2" t="s">
        <v>228</v>
      </c>
      <c r="G14" s="2" t="s">
        <v>231</v>
      </c>
    </row>
    <row r="15" spans="1:7">
      <c r="A15" s="2" t="s">
        <v>148</v>
      </c>
      <c r="B15" s="2" t="s">
        <v>79</v>
      </c>
      <c r="C15" s="2" t="s">
        <v>224</v>
      </c>
      <c r="D15" s="2" t="s">
        <v>45</v>
      </c>
      <c r="E15" s="2" t="s">
        <v>18</v>
      </c>
      <c r="F15" s="2" t="s">
        <v>228</v>
      </c>
      <c r="G15" s="2" t="s">
        <v>146</v>
      </c>
    </row>
    <row r="16" spans="1:7">
      <c r="A16" s="2" t="s">
        <v>156</v>
      </c>
      <c r="B16" s="2" t="s">
        <v>46</v>
      </c>
      <c r="C16" s="2" t="s">
        <v>232</v>
      </c>
      <c r="D16" s="2" t="s">
        <v>45</v>
      </c>
      <c r="E16" s="2" t="s">
        <v>54</v>
      </c>
      <c r="F16" s="2" t="s">
        <v>225</v>
      </c>
      <c r="G16" s="2" t="s">
        <v>233</v>
      </c>
    </row>
    <row r="17" spans="1:7">
      <c r="A17" s="2" t="s">
        <v>169</v>
      </c>
      <c r="B17" s="2" t="s">
        <v>170</v>
      </c>
      <c r="C17" s="2" t="s">
        <v>232</v>
      </c>
      <c r="D17" s="2" t="s">
        <v>45</v>
      </c>
      <c r="E17" s="2" t="s">
        <v>12</v>
      </c>
      <c r="F17" s="2" t="s">
        <v>228</v>
      </c>
      <c r="G17" s="2" t="s">
        <v>233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sqref="A1:XFD1048576"/>
    </sheetView>
  </sheetViews>
  <sheetFormatPr defaultRowHeight="13.8"/>
  <cols>
    <col min="1" max="1" width="12" customWidth="1"/>
    <col min="2" max="2" width="46" customWidth="1"/>
    <col min="3" max="3" width="12" customWidth="1"/>
    <col min="4" max="4" width="10" customWidth="1"/>
    <col min="5" max="5" width="12" customWidth="1"/>
    <col min="6" max="6" width="14" customWidth="1"/>
    <col min="7" max="7" width="16" customWidth="1"/>
    <col min="8" max="8" width="18" customWidth="1"/>
  </cols>
  <sheetData>
    <row r="1" spans="1:8" ht="21">
      <c r="A1" s="6" t="s">
        <v>234</v>
      </c>
      <c r="B1" s="7"/>
      <c r="C1" s="7"/>
      <c r="D1" s="7"/>
      <c r="E1" s="7"/>
      <c r="F1" s="7"/>
      <c r="G1" s="7"/>
      <c r="H1" s="7"/>
    </row>
    <row r="2" spans="1:8">
      <c r="A2" s="1" t="s">
        <v>235</v>
      </c>
      <c r="B2" s="1" t="s">
        <v>236</v>
      </c>
      <c r="C2" s="1" t="s">
        <v>237</v>
      </c>
      <c r="D2" s="1" t="s">
        <v>238</v>
      </c>
      <c r="E2" s="1" t="s">
        <v>239</v>
      </c>
      <c r="F2" s="1" t="s">
        <v>240</v>
      </c>
      <c r="G2" s="1" t="s">
        <v>7</v>
      </c>
      <c r="H2" s="1" t="s">
        <v>5</v>
      </c>
    </row>
    <row r="3" spans="1:8">
      <c r="A3" s="2" t="s">
        <v>241</v>
      </c>
      <c r="B3" s="2" t="s">
        <v>242</v>
      </c>
      <c r="C3" s="2">
        <v>4</v>
      </c>
      <c r="D3" s="2">
        <v>5</v>
      </c>
      <c r="E3" s="2">
        <f t="shared" ref="E3:E14" si="0">C3*D3</f>
        <v>20</v>
      </c>
      <c r="F3" s="2" t="str">
        <f t="shared" ref="F3:F14" si="1">IF(E3&lt;=5,"Low",IF(E3&lt;=10,"Medium",IF(E3&lt;=15,"High","Critical")))</f>
        <v>Critical</v>
      </c>
      <c r="G3" s="2" t="s">
        <v>40</v>
      </c>
      <c r="H3" s="2" t="s">
        <v>21</v>
      </c>
    </row>
    <row r="4" spans="1:8">
      <c r="A4" s="2" t="s">
        <v>243</v>
      </c>
      <c r="B4" s="2" t="s">
        <v>244</v>
      </c>
      <c r="C4" s="2">
        <v>4</v>
      </c>
      <c r="D4" s="2">
        <v>5</v>
      </c>
      <c r="E4" s="2">
        <f t="shared" si="0"/>
        <v>20</v>
      </c>
      <c r="F4" s="2" t="str">
        <f t="shared" si="1"/>
        <v>Critical</v>
      </c>
      <c r="G4" s="2" t="s">
        <v>40</v>
      </c>
      <c r="H4" s="2" t="s">
        <v>45</v>
      </c>
    </row>
    <row r="5" spans="1:8" ht="27.6">
      <c r="A5" s="2" t="s">
        <v>245</v>
      </c>
      <c r="B5" s="2" t="s">
        <v>246</v>
      </c>
      <c r="C5" s="2">
        <v>4</v>
      </c>
      <c r="D5" s="2">
        <v>4</v>
      </c>
      <c r="E5" s="2">
        <f t="shared" si="0"/>
        <v>16</v>
      </c>
      <c r="F5" s="2" t="str">
        <f t="shared" si="1"/>
        <v>Critical</v>
      </c>
      <c r="G5" s="2" t="s">
        <v>59</v>
      </c>
      <c r="H5" s="2" t="s">
        <v>45</v>
      </c>
    </row>
    <row r="6" spans="1:8">
      <c r="A6" s="2" t="s">
        <v>247</v>
      </c>
      <c r="B6" s="2" t="s">
        <v>248</v>
      </c>
      <c r="C6" s="2">
        <v>3</v>
      </c>
      <c r="D6" s="2">
        <v>5</v>
      </c>
      <c r="E6" s="2">
        <f t="shared" si="0"/>
        <v>15</v>
      </c>
      <c r="F6" s="2" t="str">
        <f t="shared" si="1"/>
        <v>High</v>
      </c>
      <c r="G6" s="2" t="s">
        <v>59</v>
      </c>
      <c r="H6" s="2" t="s">
        <v>45</v>
      </c>
    </row>
    <row r="7" spans="1:8" ht="27.6">
      <c r="A7" s="2" t="s">
        <v>249</v>
      </c>
      <c r="B7" s="2" t="s">
        <v>250</v>
      </c>
      <c r="C7" s="2">
        <v>3</v>
      </c>
      <c r="D7" s="2">
        <v>5</v>
      </c>
      <c r="E7" s="2">
        <f t="shared" si="0"/>
        <v>15</v>
      </c>
      <c r="F7" s="2" t="str">
        <f t="shared" si="1"/>
        <v>High</v>
      </c>
      <c r="G7" s="2" t="s">
        <v>40</v>
      </c>
      <c r="H7" s="2" t="s">
        <v>13</v>
      </c>
    </row>
    <row r="8" spans="1:8" ht="27.6">
      <c r="A8" s="2" t="s">
        <v>251</v>
      </c>
      <c r="B8" s="2" t="s">
        <v>252</v>
      </c>
      <c r="C8" s="2">
        <v>3</v>
      </c>
      <c r="D8" s="2">
        <v>4</v>
      </c>
      <c r="E8" s="2">
        <f t="shared" si="0"/>
        <v>12</v>
      </c>
      <c r="F8" s="2" t="str">
        <f t="shared" si="1"/>
        <v>High</v>
      </c>
      <c r="G8" s="2" t="s">
        <v>40</v>
      </c>
      <c r="H8" s="2" t="s">
        <v>57</v>
      </c>
    </row>
    <row r="9" spans="1:8" ht="27.6">
      <c r="A9" s="2" t="s">
        <v>253</v>
      </c>
      <c r="B9" s="2" t="s">
        <v>254</v>
      </c>
      <c r="C9" s="2">
        <v>3</v>
      </c>
      <c r="D9" s="2">
        <v>3</v>
      </c>
      <c r="E9" s="2">
        <f t="shared" si="0"/>
        <v>9</v>
      </c>
      <c r="F9" s="2" t="str">
        <f t="shared" si="1"/>
        <v>Medium</v>
      </c>
      <c r="G9" s="2" t="s">
        <v>255</v>
      </c>
      <c r="H9" s="2" t="s">
        <v>31</v>
      </c>
    </row>
    <row r="10" spans="1:8">
      <c r="A10" s="2" t="s">
        <v>256</v>
      </c>
      <c r="B10" s="2" t="s">
        <v>257</v>
      </c>
      <c r="C10" s="2">
        <v>4</v>
      </c>
      <c r="D10" s="2">
        <v>4</v>
      </c>
      <c r="E10" s="2">
        <f t="shared" si="0"/>
        <v>16</v>
      </c>
      <c r="F10" s="2" t="str">
        <f t="shared" si="1"/>
        <v>Critical</v>
      </c>
      <c r="G10" s="2" t="s">
        <v>40</v>
      </c>
      <c r="H10" s="2" t="s">
        <v>45</v>
      </c>
    </row>
    <row r="11" spans="1:8" ht="27.6">
      <c r="A11" s="2" t="s">
        <v>258</v>
      </c>
      <c r="B11" s="2" t="s">
        <v>259</v>
      </c>
      <c r="C11" s="2">
        <v>2</v>
      </c>
      <c r="D11" s="2">
        <v>5</v>
      </c>
      <c r="E11" s="2">
        <f t="shared" si="0"/>
        <v>10</v>
      </c>
      <c r="F11" s="2" t="str">
        <f t="shared" si="1"/>
        <v>Medium</v>
      </c>
      <c r="G11" s="2" t="s">
        <v>59</v>
      </c>
      <c r="H11" s="2" t="s">
        <v>28</v>
      </c>
    </row>
    <row r="12" spans="1:8" ht="27.6">
      <c r="A12" s="2" t="s">
        <v>260</v>
      </c>
      <c r="B12" s="2" t="s">
        <v>261</v>
      </c>
      <c r="C12" s="2">
        <v>3</v>
      </c>
      <c r="D12" s="2">
        <v>5</v>
      </c>
      <c r="E12" s="2">
        <f t="shared" si="0"/>
        <v>15</v>
      </c>
      <c r="F12" s="2" t="str">
        <f t="shared" si="1"/>
        <v>High</v>
      </c>
      <c r="G12" s="2" t="s">
        <v>40</v>
      </c>
      <c r="H12" s="2" t="s">
        <v>45</v>
      </c>
    </row>
    <row r="13" spans="1:8" ht="27.6">
      <c r="A13" s="2" t="s">
        <v>262</v>
      </c>
      <c r="B13" s="2" t="s">
        <v>263</v>
      </c>
      <c r="C13" s="2">
        <v>3</v>
      </c>
      <c r="D13" s="2">
        <v>3</v>
      </c>
      <c r="E13" s="2">
        <f t="shared" si="0"/>
        <v>9</v>
      </c>
      <c r="F13" s="2" t="str">
        <f t="shared" si="1"/>
        <v>Medium</v>
      </c>
      <c r="G13" s="2" t="s">
        <v>40</v>
      </c>
      <c r="H13" s="2" t="s">
        <v>45</v>
      </c>
    </row>
    <row r="14" spans="1:8" ht="27.6">
      <c r="A14" s="2" t="s">
        <v>264</v>
      </c>
      <c r="B14" s="2" t="s">
        <v>265</v>
      </c>
      <c r="C14" s="2">
        <v>4</v>
      </c>
      <c r="D14" s="2">
        <v>3</v>
      </c>
      <c r="E14" s="2">
        <f t="shared" si="0"/>
        <v>12</v>
      </c>
      <c r="F14" s="2" t="str">
        <f t="shared" si="1"/>
        <v>High</v>
      </c>
      <c r="G14" s="2" t="s">
        <v>59</v>
      </c>
      <c r="H14" s="2" t="s">
        <v>45</v>
      </c>
    </row>
  </sheetData>
  <mergeCells count="1">
    <mergeCell ref="A1:H1"/>
  </mergeCells>
  <conditionalFormatting sqref="E3:E14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2">
    <dataValidation type="list" sqref="C3:D14" xr:uid="{00000000-0002-0000-0300-000000000000}">
      <formula1>"1,2,3,4,5"</formula1>
    </dataValidation>
    <dataValidation type="list" sqref="G3:G14" xr:uid="{00000000-0002-0000-0300-000001000000}">
      <formula1>"Open,In Progress,Accepted,Mitigated"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tabSelected="1" workbookViewId="0">
      <selection sqref="A1:XFD1048576"/>
    </sheetView>
  </sheetViews>
  <sheetFormatPr defaultRowHeight="13.8"/>
  <cols>
    <col min="1" max="2" width="12" customWidth="1"/>
    <col min="3" max="3" width="36" customWidth="1"/>
    <col min="4" max="4" width="38" customWidth="1"/>
    <col min="5" max="5" width="48" customWidth="1"/>
    <col min="6" max="6" width="12" customWidth="1"/>
  </cols>
  <sheetData>
    <row r="1" spans="1:6" ht="21">
      <c r="A1" s="6" t="s">
        <v>266</v>
      </c>
      <c r="B1" s="7"/>
      <c r="C1" s="7"/>
      <c r="D1" s="7"/>
      <c r="E1" s="7"/>
      <c r="F1" s="7"/>
    </row>
    <row r="2" spans="1:6">
      <c r="A2" s="1" t="s">
        <v>267</v>
      </c>
      <c r="B2" s="1" t="s">
        <v>235</v>
      </c>
      <c r="C2" s="1" t="s">
        <v>268</v>
      </c>
      <c r="D2" s="1" t="s">
        <v>269</v>
      </c>
      <c r="E2" s="1" t="s">
        <v>270</v>
      </c>
      <c r="F2" s="1" t="s">
        <v>271</v>
      </c>
    </row>
    <row r="3" spans="1:6" ht="27.6">
      <c r="A3" s="2" t="s">
        <v>272</v>
      </c>
      <c r="B3" s="2" t="s">
        <v>241</v>
      </c>
      <c r="C3" s="2" t="s">
        <v>273</v>
      </c>
      <c r="D3" s="2" t="s">
        <v>274</v>
      </c>
      <c r="E3" s="2" t="s">
        <v>275</v>
      </c>
      <c r="F3" s="2" t="s">
        <v>18</v>
      </c>
    </row>
    <row r="4" spans="1:6" ht="27.6">
      <c r="A4" s="2" t="s">
        <v>276</v>
      </c>
      <c r="B4" s="2" t="s">
        <v>243</v>
      </c>
      <c r="C4" s="2" t="s">
        <v>277</v>
      </c>
      <c r="D4" s="2" t="s">
        <v>278</v>
      </c>
      <c r="E4" s="2" t="s">
        <v>279</v>
      </c>
      <c r="F4" s="2" t="s">
        <v>54</v>
      </c>
    </row>
    <row r="5" spans="1:6">
      <c r="A5" s="2" t="s">
        <v>280</v>
      </c>
      <c r="B5" s="2" t="s">
        <v>245</v>
      </c>
      <c r="C5" s="2" t="s">
        <v>281</v>
      </c>
      <c r="D5" s="2" t="s">
        <v>282</v>
      </c>
      <c r="E5" s="2" t="s">
        <v>283</v>
      </c>
      <c r="F5" s="2" t="s">
        <v>54</v>
      </c>
    </row>
    <row r="6" spans="1:6">
      <c r="A6" s="2" t="s">
        <v>284</v>
      </c>
      <c r="B6" s="2" t="s">
        <v>247</v>
      </c>
      <c r="C6" s="2" t="s">
        <v>285</v>
      </c>
      <c r="D6" s="2" t="s">
        <v>286</v>
      </c>
      <c r="E6" s="2" t="s">
        <v>287</v>
      </c>
      <c r="F6" s="2" t="s">
        <v>18</v>
      </c>
    </row>
    <row r="7" spans="1:6" ht="27.6">
      <c r="A7" s="2" t="s">
        <v>288</v>
      </c>
      <c r="B7" s="2" t="s">
        <v>249</v>
      </c>
      <c r="C7" s="2" t="s">
        <v>289</v>
      </c>
      <c r="D7" s="2" t="s">
        <v>290</v>
      </c>
      <c r="E7" s="2" t="s">
        <v>291</v>
      </c>
      <c r="F7" s="2" t="s">
        <v>18</v>
      </c>
    </row>
    <row r="8" spans="1:6" ht="27.6">
      <c r="A8" s="2" t="s">
        <v>292</v>
      </c>
      <c r="B8" s="2" t="s">
        <v>251</v>
      </c>
      <c r="C8" s="2" t="s">
        <v>293</v>
      </c>
      <c r="D8" s="2" t="s">
        <v>294</v>
      </c>
      <c r="E8" s="2" t="s">
        <v>295</v>
      </c>
      <c r="F8" s="2" t="s">
        <v>18</v>
      </c>
    </row>
    <row r="9" spans="1:6" ht="27.6">
      <c r="A9" s="2" t="s">
        <v>296</v>
      </c>
      <c r="B9" s="2" t="s">
        <v>253</v>
      </c>
      <c r="C9" s="2" t="s">
        <v>277</v>
      </c>
      <c r="D9" s="2" t="s">
        <v>297</v>
      </c>
      <c r="E9" s="2" t="s">
        <v>298</v>
      </c>
      <c r="F9" s="2" t="s">
        <v>12</v>
      </c>
    </row>
    <row r="10" spans="1:6" ht="27.6">
      <c r="A10" s="2" t="s">
        <v>299</v>
      </c>
      <c r="B10" s="2" t="s">
        <v>256</v>
      </c>
      <c r="C10" s="2" t="s">
        <v>300</v>
      </c>
      <c r="D10" s="2" t="s">
        <v>301</v>
      </c>
      <c r="E10" s="2" t="s">
        <v>302</v>
      </c>
      <c r="F10" s="2" t="s">
        <v>54</v>
      </c>
    </row>
    <row r="11" spans="1:6">
      <c r="A11" s="2" t="s">
        <v>303</v>
      </c>
      <c r="B11" s="2" t="s">
        <v>258</v>
      </c>
      <c r="C11" s="2" t="s">
        <v>304</v>
      </c>
      <c r="D11" s="2" t="s">
        <v>305</v>
      </c>
      <c r="E11" s="2" t="s">
        <v>306</v>
      </c>
      <c r="F11" s="2" t="s">
        <v>18</v>
      </c>
    </row>
    <row r="12" spans="1:6">
      <c r="A12" s="2" t="s">
        <v>307</v>
      </c>
      <c r="B12" s="2" t="s">
        <v>260</v>
      </c>
      <c r="C12" s="2" t="s">
        <v>281</v>
      </c>
      <c r="D12" s="2" t="s">
        <v>308</v>
      </c>
      <c r="E12" s="2" t="s">
        <v>309</v>
      </c>
      <c r="F12" s="2" t="s">
        <v>54</v>
      </c>
    </row>
    <row r="13" spans="1:6" ht="27.6">
      <c r="A13" s="2" t="s">
        <v>310</v>
      </c>
      <c r="B13" s="2" t="s">
        <v>262</v>
      </c>
      <c r="C13" s="2" t="s">
        <v>311</v>
      </c>
      <c r="D13" s="2" t="s">
        <v>312</v>
      </c>
      <c r="E13" s="2" t="s">
        <v>313</v>
      </c>
      <c r="F13" s="2" t="s">
        <v>12</v>
      </c>
    </row>
    <row r="14" spans="1:6" ht="27.6">
      <c r="A14" s="2" t="s">
        <v>314</v>
      </c>
      <c r="B14" s="2" t="s">
        <v>264</v>
      </c>
      <c r="C14" s="2" t="s">
        <v>315</v>
      </c>
      <c r="D14" s="2" t="s">
        <v>316</v>
      </c>
      <c r="E14" s="2" t="s">
        <v>317</v>
      </c>
      <c r="F14" s="2" t="s">
        <v>18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/>
  </sheetViews>
  <sheetFormatPr defaultRowHeight="13.8"/>
  <cols>
    <col min="1" max="1" width="20" customWidth="1"/>
    <col min="2" max="2" width="85" customWidth="1"/>
  </cols>
  <sheetData>
    <row r="1" spans="1:8">
      <c r="A1" s="8" t="s">
        <v>318</v>
      </c>
      <c r="B1" s="9"/>
      <c r="C1" s="7"/>
      <c r="D1" s="7"/>
      <c r="E1" s="7"/>
      <c r="F1" s="7"/>
      <c r="G1" s="7"/>
      <c r="H1" s="7"/>
    </row>
    <row r="3" spans="1:8">
      <c r="A3" s="1" t="s">
        <v>319</v>
      </c>
      <c r="B3" s="1" t="s">
        <v>320</v>
      </c>
    </row>
    <row r="4" spans="1:8">
      <c r="A4" s="5" t="s">
        <v>321</v>
      </c>
      <c r="B4" t="s">
        <v>322</v>
      </c>
    </row>
    <row r="5" spans="1:8">
      <c r="A5" s="5" t="s">
        <v>0</v>
      </c>
      <c r="B5" t="s">
        <v>323</v>
      </c>
    </row>
    <row r="6" spans="1:8">
      <c r="A6" s="5" t="s">
        <v>128</v>
      </c>
      <c r="B6" t="s">
        <v>324</v>
      </c>
    </row>
    <row r="7" spans="1:8">
      <c r="A7" s="5" t="s">
        <v>220</v>
      </c>
      <c r="B7" t="s">
        <v>325</v>
      </c>
    </row>
    <row r="8" spans="1:8">
      <c r="A8" s="5" t="s">
        <v>234</v>
      </c>
      <c r="B8" t="s">
        <v>326</v>
      </c>
    </row>
    <row r="9" spans="1:8">
      <c r="A9" s="5" t="s">
        <v>266</v>
      </c>
      <c r="B9" t="s">
        <v>327</v>
      </c>
    </row>
    <row r="10" spans="1:8">
      <c r="A10" s="5" t="s">
        <v>328</v>
      </c>
      <c r="B10" t="s">
        <v>329</v>
      </c>
    </row>
    <row r="11" spans="1:8">
      <c r="A11" s="5" t="s">
        <v>330</v>
      </c>
      <c r="B11" t="s">
        <v>331</v>
      </c>
    </row>
    <row r="12" spans="1:8">
      <c r="A12" s="5" t="s">
        <v>332</v>
      </c>
      <c r="B12" t="s">
        <v>333</v>
      </c>
    </row>
    <row r="13" spans="1:8">
      <c r="A13" s="5" t="s">
        <v>334</v>
      </c>
      <c r="B13" t="s">
        <v>335</v>
      </c>
    </row>
    <row r="14" spans="1:8">
      <c r="A14" s="5" t="s">
        <v>336</v>
      </c>
      <c r="B14" t="s">
        <v>337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Incidents</vt:lpstr>
      <vt:lpstr>Vulnerabilities</vt:lpstr>
      <vt:lpstr>Assets</vt:lpstr>
      <vt:lpstr>Risk Register</vt:lpstr>
      <vt:lpstr>Control Mapping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Kaung Si Thu</cp:lastModifiedBy>
  <dcterms:modified xsi:type="dcterms:W3CDTF">2026-06-04T13:03:28Z</dcterms:modified>
</cp:coreProperties>
</file>